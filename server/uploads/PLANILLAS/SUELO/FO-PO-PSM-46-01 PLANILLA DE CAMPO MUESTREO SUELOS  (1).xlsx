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aul.calderon\Desktop\SERAMBIENTE\VALIDACIONES\Validaciones de aguas 2022\2023\Documentos\Validaciones\"/>
    </mc:Choice>
  </mc:AlternateContent>
  <xr:revisionPtr revIDLastSave="0" documentId="13_ncr:1_{9D5433A2-0700-4F68-B2F7-22669924D9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" sheetId="4" r:id="rId1"/>
    <sheet name="2" sheetId="8" r:id="rId2"/>
  </sheets>
  <definedNames>
    <definedName name="_xlnm.Print_Area" localSheetId="0">'1'!$A$1:$L$36</definedName>
    <definedName name="_xlnm.Print_Area" localSheetId="1">'2'!$B$1:$AA$41</definedName>
    <definedName name="OLE_LINK1" localSheetId="0">'1'!#REF!</definedName>
    <definedName name="OLE_LINK1" localSheetId="1">'2'!#REF!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" i="8" l="1"/>
  <c r="Y27" i="8"/>
  <c r="AA27" i="8" s="1"/>
  <c r="Y26" i="8"/>
  <c r="AA26" i="8" s="1"/>
  <c r="Y25" i="8"/>
  <c r="AA25" i="8" s="1"/>
  <c r="Y24" i="8"/>
  <c r="Y23" i="8"/>
  <c r="AA23" i="8" s="1"/>
  <c r="Y22" i="8"/>
  <c r="AA22" i="8" s="1"/>
  <c r="Y21" i="8"/>
  <c r="AA21" i="8" s="1"/>
  <c r="Y20" i="8"/>
  <c r="AA20" i="8" s="1"/>
  <c r="Y19" i="8"/>
  <c r="AA19" i="8" s="1"/>
  <c r="Y18" i="8"/>
  <c r="AA18" i="8" s="1"/>
  <c r="Y17" i="8"/>
  <c r="AA17" i="8" s="1"/>
  <c r="Y16" i="8"/>
  <c r="AA16" i="8" s="1"/>
  <c r="Y15" i="8"/>
  <c r="AA15" i="8" s="1"/>
  <c r="Y14" i="8"/>
  <c r="AA14" i="8" s="1"/>
  <c r="Y13" i="8"/>
  <c r="Z13" i="8" s="1"/>
  <c r="P28" i="8"/>
  <c r="P27" i="8"/>
  <c r="R26" i="8"/>
  <c r="P26" i="8"/>
  <c r="P25" i="8"/>
  <c r="R25" i="8" s="1"/>
  <c r="P24" i="8"/>
  <c r="R24" i="8" s="1"/>
  <c r="P23" i="8"/>
  <c r="R23" i="8" s="1"/>
  <c r="R22" i="8"/>
  <c r="P22" i="8"/>
  <c r="P21" i="8"/>
  <c r="P20" i="8"/>
  <c r="R20" i="8" s="1"/>
  <c r="P19" i="8"/>
  <c r="R18" i="8"/>
  <c r="P18" i="8"/>
  <c r="P17" i="8"/>
  <c r="R17" i="8" s="1"/>
  <c r="P16" i="8"/>
  <c r="R16" i="8" s="1"/>
  <c r="P15" i="8"/>
  <c r="R15" i="8" s="1"/>
  <c r="R14" i="8"/>
  <c r="P14" i="8"/>
  <c r="P13" i="8"/>
  <c r="R13" i="8" s="1"/>
  <c r="P30" i="8" s="1"/>
  <c r="V13" i="8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M13" i="8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G33" i="8"/>
  <c r="G31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13" i="8"/>
  <c r="D14" i="8"/>
  <c r="D15" i="8"/>
  <c r="D16" i="8"/>
  <c r="D17" i="8"/>
  <c r="D18" i="8"/>
  <c r="D19" i="8"/>
  <c r="D20" i="8"/>
  <c r="D21" i="8"/>
  <c r="D22" i="8"/>
  <c r="D23" i="8"/>
  <c r="D24" i="8" s="1"/>
  <c r="D25" i="8" s="1"/>
  <c r="D26" i="8" s="1"/>
  <c r="D27" i="8" s="1"/>
  <c r="D28" i="8" s="1"/>
  <c r="D13" i="8"/>
  <c r="G27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8" i="8"/>
  <c r="G13" i="8"/>
  <c r="H13" i="8" s="1"/>
  <c r="H14" i="8" s="1"/>
  <c r="H15" i="8" s="1"/>
  <c r="G30" i="8" l="1"/>
  <c r="AA24" i="8"/>
  <c r="AA13" i="8"/>
  <c r="Y30" i="8" s="1"/>
  <c r="Z14" i="8"/>
  <c r="AA28" i="8"/>
  <c r="R19" i="8"/>
  <c r="Q13" i="8"/>
  <c r="R21" i="8"/>
  <c r="R27" i="8"/>
  <c r="R28" i="8"/>
  <c r="G32" i="8"/>
  <c r="H17" i="8"/>
  <c r="H18" i="8" s="1"/>
  <c r="H19" i="8" s="1"/>
  <c r="H20" i="8" s="1"/>
  <c r="H21" i="8" s="1"/>
  <c r="H22" i="8" s="1"/>
  <c r="H23" i="8" s="1"/>
  <c r="H24" i="8" s="1"/>
  <c r="H25" i="8" s="1"/>
  <c r="H26" i="8" s="1"/>
  <c r="H16" i="8"/>
  <c r="Z15" i="8" l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Q14" i="8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H27" i="8"/>
  <c r="H28" i="8"/>
  <c r="Z28" i="8" l="1"/>
  <c r="Z27" i="8"/>
  <c r="Q27" i="8"/>
  <c r="Q28" i="8"/>
  <c r="P31" i="8"/>
  <c r="Y31" i="8" l="1"/>
  <c r="P33" i="8"/>
  <c r="P32" i="8"/>
  <c r="Y33" i="8" l="1"/>
  <c r="Y32" i="8"/>
</calcChain>
</file>

<file path=xl/sharedStrings.xml><?xml version="1.0" encoding="utf-8"?>
<sst xmlns="http://schemas.openxmlformats.org/spreadsheetml/2006/main" count="103" uniqueCount="65">
  <si>
    <t>PLANILLA DE CAMPO MUESTREO DE SUELOS</t>
  </si>
  <si>
    <t>IDENTIFICACÍON DE LA MUESTRA:</t>
  </si>
  <si>
    <t>LUGAR DE MUESTREO:</t>
  </si>
  <si>
    <t>OT:</t>
  </si>
  <si>
    <t>HOJA [____] de[____]</t>
  </si>
  <si>
    <t>FECHA:</t>
  </si>
  <si>
    <t>RESPONSABLE EN CAMPO:</t>
  </si>
  <si>
    <t>CLIENTE:</t>
  </si>
  <si>
    <t>TIPO ACTIVIDAD INTERVENCION</t>
  </si>
  <si>
    <t>Actividad agropecuario y/o forestal:</t>
  </si>
  <si>
    <t>Influencia industrial, urbana y rural:</t>
  </si>
  <si>
    <t>Otros?</t>
  </si>
  <si>
    <t>Cual?</t>
  </si>
  <si>
    <t>INFORMACIÓN DE CAMPO</t>
  </si>
  <si>
    <t xml:space="preserve">INTERVENTOR: 
 </t>
  </si>
  <si>
    <t>TIPO DE MUESTREO:</t>
  </si>
  <si>
    <t>SIMPLE</t>
  </si>
  <si>
    <t>COMPUESTO</t>
  </si>
  <si>
    <t>NOMBRE DEL PUNTO:</t>
  </si>
  <si>
    <r>
      <rPr>
        <b/>
        <sz val="11"/>
        <color rgb="FF000000"/>
        <rFont val="Calibri"/>
        <family val="2"/>
        <scheme val="minor"/>
      </rPr>
      <t xml:space="preserve">COORDENADAS </t>
    </r>
    <r>
      <rPr>
        <b/>
        <sz val="11"/>
        <color indexed="8"/>
        <rFont val="Calibri"/>
        <family val="2"/>
      </rPr>
      <t>E:                                                                     N:</t>
    </r>
  </si>
  <si>
    <t>USO DEL AREA:</t>
  </si>
  <si>
    <t>PROFUNDIDAD DEL AREA:</t>
  </si>
  <si>
    <t>TIPO DE CONTAMINANTE:</t>
  </si>
  <si>
    <t>NUMERO DE SUBMUESTRAS:</t>
  </si>
  <si>
    <t>OBSERVACIONES DEL TERRENO</t>
  </si>
  <si>
    <t>NOMENCLATURA DE LOS HORIZONTES (Espesor, Color, textura y estructura del suelo):</t>
  </si>
  <si>
    <t>Descripcion del area:</t>
  </si>
  <si>
    <t>MAPA O ESQUEMA DEL AREA:</t>
  </si>
  <si>
    <t>OBSERVACIONES</t>
  </si>
  <si>
    <t>METODO DE REFERENCIA: NTC 4113-1:1997-07-23.</t>
  </si>
  <si>
    <t>Nombre/Firma Ejecutor Responsable:</t>
  </si>
  <si>
    <t>Nombre/Firma Aprobador:</t>
  </si>
  <si>
    <t>Hora :</t>
  </si>
  <si>
    <t>TEMPERATURA AMBIENTE °C</t>
  </si>
  <si>
    <t>TEMPERATURA DE LA NEVERA °C</t>
  </si>
  <si>
    <t>TEMPERATURA DEL SUELO °C</t>
  </si>
  <si>
    <t>DUPLICADO °C</t>
  </si>
  <si>
    <r>
      <rPr>
        <b/>
        <sz val="11"/>
        <color indexed="8"/>
        <rFont val="Arial"/>
        <family val="2"/>
      </rPr>
      <t>Nota:</t>
    </r>
    <r>
      <rPr>
        <sz val="11"/>
        <color indexed="8"/>
        <rFont val="Arial"/>
        <family val="2"/>
      </rPr>
      <t xml:space="preserve"> Si el espacio para las anotaciones no es suficiente, utilice la parte trasera de este formato. Para los muestreos compuestos realizar mediciones de temperatura a cada submuestra.</t>
    </r>
  </si>
  <si>
    <t>PRUEBA DE INFILTRACIÓN  (ENSAYO 1)</t>
  </si>
  <si>
    <t>DIAMETRO ANILLO EXTERIOR (cm)</t>
  </si>
  <si>
    <t>DIAMETRO ANILLO INTERIOR  (cm)</t>
  </si>
  <si>
    <t>ALTURA (cm)</t>
  </si>
  <si>
    <t>pendiente (m)</t>
  </si>
  <si>
    <t>velocidad de infiltracion en cm/h (I)</t>
  </si>
  <si>
    <t>velocidad de infiltracion en el  primer minuto en cm/h (c)</t>
  </si>
  <si>
    <t>tiempo parcial (min)</t>
  </si>
  <si>
    <t>tiempo acomulado (min)</t>
  </si>
  <si>
    <t>nivel de agua (cm)</t>
  </si>
  <si>
    <t>enrase (cm)</t>
  </si>
  <si>
    <t>laminas parciales (cm)</t>
  </si>
  <si>
    <t>laminas acomuladas (cm)</t>
  </si>
  <si>
    <t>tasa de infiltracion (cm/h)</t>
  </si>
  <si>
    <t>Medicion</t>
  </si>
  <si>
    <t>infiltracion acomulada en cm (I)</t>
  </si>
  <si>
    <t>PRUEBA DE INFILTRACIÓN  (ENSAYO 2)</t>
  </si>
  <si>
    <t>PRUEBA DE INFILTRACIÓN  (ENSAYO 3)</t>
  </si>
  <si>
    <t>SITIO DE MUESTREO</t>
  </si>
  <si>
    <t>OT</t>
  </si>
  <si>
    <t>COORDENADAS:</t>
  </si>
  <si>
    <t>CLIENTE</t>
  </si>
  <si>
    <t>PUNTO DE MUESTREO:</t>
  </si>
  <si>
    <t>Nombre/Firma Ejecutor  Responsable:</t>
  </si>
  <si>
    <t>REPONSABLE DE CAMPO:</t>
  </si>
  <si>
    <t>Código: FO-PO-PSM-46-01
Versión: 06
Fecha: 07/09/2023
Página: 2 de 2</t>
  </si>
  <si>
    <t>Código: FO-PO-PSM-46-01
Versión: 06
Fecha: 07/09/2023
Página: 1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</si>
</sst>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/>
    <xf numFmtId="0" fontId="4" fillId="2" borderId="10" xfId="0" applyFont="1" applyFill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vertical="center"/>
    </xf>
    <xf numFmtId="0" fontId="2" fillId="2" borderId="42" xfId="0" applyFont="1" applyFill="1" applyBorder="1" applyAlignment="1"/>
    <xf numFmtId="0" fontId="0" fillId="2" borderId="25" xfId="0" applyFont="1" applyFill="1" applyBorder="1" applyAlignment="1">
      <alignment vertical="top"/>
    </xf>
    <xf numFmtId="0" fontId="2" fillId="2" borderId="46" xfId="0" applyFont="1" applyFill="1" applyBorder="1" applyAlignment="1">
      <alignment vertical="top"/>
    </xf>
    <xf numFmtId="0" fontId="4" fillId="2" borderId="28" xfId="0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" xfId="0" applyFont="1" applyBorder="1" applyAlignment="1"/>
    <xf numFmtId="0" fontId="4" fillId="0" borderId="54" xfId="0" applyFont="1" applyBorder="1" applyAlignment="1"/>
    <xf numFmtId="0" fontId="4" fillId="0" borderId="30" xfId="0" applyFont="1" applyBorder="1" applyAlignment="1"/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2" fillId="0" borderId="0" xfId="0" applyFont="1" applyAlignment="1"/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11" fillId="0" borderId="26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27" xfId="0" applyFont="1" applyBorder="1" applyAlignment="1">
      <alignment vertical="top"/>
    </xf>
    <xf numFmtId="0" fontId="11" fillId="0" borderId="28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0" fillId="0" borderId="57" xfId="0" applyBorder="1" applyAlignment="1">
      <alignment vertical="top"/>
    </xf>
    <xf numFmtId="0" fontId="11" fillId="0" borderId="49" xfId="0" applyFont="1" applyBorder="1" applyAlignment="1">
      <alignment vertical="top"/>
    </xf>
    <xf numFmtId="0" fontId="11" fillId="0" borderId="50" xfId="0" applyFont="1" applyBorder="1" applyAlignment="1">
      <alignment vertical="top"/>
    </xf>
    <xf numFmtId="0" fontId="0" fillId="0" borderId="30" xfId="0" applyBorder="1" applyAlignment="1">
      <alignment vertical="top"/>
    </xf>
    <xf numFmtId="0" fontId="4" fillId="2" borderId="0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vertical="center"/>
    </xf>
    <xf numFmtId="0" fontId="4" fillId="2" borderId="34" xfId="0" applyFont="1" applyFill="1" applyBorder="1" applyAlignment="1">
      <alignment vertical="center"/>
    </xf>
    <xf numFmtId="0" fontId="2" fillId="0" borderId="0" xfId="0" applyFont="1" applyBorder="1"/>
    <xf numFmtId="0" fontId="4" fillId="0" borderId="3" xfId="0" applyFont="1" applyBorder="1" applyAlignment="1"/>
    <xf numFmtId="0" fontId="4" fillId="0" borderId="29" xfId="0" applyFont="1" applyBorder="1" applyAlignment="1"/>
    <xf numFmtId="0" fontId="4" fillId="0" borderId="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2" fillId="0" borderId="49" xfId="0" applyFont="1" applyBorder="1"/>
    <xf numFmtId="0" fontId="0" fillId="0" borderId="51" xfId="0" applyBorder="1" applyAlignment="1">
      <alignment vertical="top"/>
    </xf>
    <xf numFmtId="0" fontId="0" fillId="0" borderId="62" xfId="0" applyBorder="1" applyAlignment="1">
      <alignment vertical="top"/>
    </xf>
    <xf numFmtId="0" fontId="4" fillId="0" borderId="4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9" fillId="3" borderId="1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vertical="top" wrapText="1"/>
    </xf>
    <xf numFmtId="0" fontId="8" fillId="0" borderId="17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11" fillId="0" borderId="26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31" xfId="0" applyFont="1" applyBorder="1" applyAlignment="1">
      <alignment horizontal="left" vertical="top"/>
    </xf>
    <xf numFmtId="0" fontId="11" fillId="0" borderId="27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2" xfId="0" applyFont="1" applyBorder="1" applyAlignment="1">
      <alignment horizontal="left" vertical="top" wrapText="1"/>
    </xf>
    <xf numFmtId="0" fontId="11" fillId="0" borderId="32" xfId="0" applyFont="1" applyBorder="1" applyAlignment="1">
      <alignment horizontal="left" vertical="top"/>
    </xf>
    <xf numFmtId="0" fontId="11" fillId="0" borderId="52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38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9" xfId="0" applyFont="1" applyBorder="1" applyAlignment="1">
      <alignment horizontal="left" vertical="top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2" fillId="4" borderId="2" xfId="0" applyFont="1" applyFill="1" applyBorder="1" applyAlignment="1">
      <alignment horizontal="left" vertical="center" wrapText="1"/>
    </xf>
    <xf numFmtId="0" fontId="12" fillId="4" borderId="37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38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2" fillId="4" borderId="39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top"/>
    </xf>
    <xf numFmtId="0" fontId="4" fillId="2" borderId="20" xfId="0" applyFont="1" applyFill="1" applyBorder="1" applyAlignment="1">
      <alignment horizontal="left" vertical="top"/>
    </xf>
    <xf numFmtId="0" fontId="4" fillId="2" borderId="21" xfId="0" applyFont="1" applyFill="1" applyBorder="1" applyAlignment="1">
      <alignment horizontal="left" vertical="top"/>
    </xf>
    <xf numFmtId="0" fontId="4" fillId="2" borderId="26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49" xfId="0" applyFont="1" applyFill="1" applyBorder="1" applyAlignment="1">
      <alignment horizontal="left" vertical="top"/>
    </xf>
    <xf numFmtId="0" fontId="4" fillId="2" borderId="27" xfId="0" applyFont="1" applyFill="1" applyBorder="1" applyAlignment="1">
      <alignment horizontal="left" vertical="top"/>
    </xf>
    <xf numFmtId="0" fontId="4" fillId="2" borderId="28" xfId="0" applyFont="1" applyFill="1" applyBorder="1" applyAlignment="1">
      <alignment horizontal="left" vertical="top"/>
    </xf>
    <xf numFmtId="0" fontId="4" fillId="2" borderId="50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4" fillId="2" borderId="55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4" fillId="2" borderId="54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top" wrapText="1"/>
    </xf>
    <xf numFmtId="0" fontId="11" fillId="0" borderId="34" xfId="0" applyFont="1" applyBorder="1" applyAlignment="1">
      <alignment horizontal="left" vertical="top" wrapText="1"/>
    </xf>
    <xf numFmtId="0" fontId="11" fillId="0" borderId="63" xfId="0" applyFont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49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50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9" fillId="3" borderId="26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top"/>
    </xf>
    <xf numFmtId="0" fontId="9" fillId="3" borderId="57" xfId="0" applyFont="1" applyFill="1" applyBorder="1" applyAlignment="1">
      <alignment horizontal="center" vertical="top"/>
    </xf>
    <xf numFmtId="0" fontId="9" fillId="3" borderId="49" xfId="0" applyFont="1" applyFill="1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16" fillId="0" borderId="54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16" fillId="0" borderId="55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54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15" fillId="0" borderId="54" xfId="0" applyFont="1" applyBorder="1" applyAlignment="1">
      <alignment horizontal="left" vertical="center"/>
    </xf>
    <xf numFmtId="0" fontId="4" fillId="0" borderId="55" xfId="0" applyFont="1" applyBorder="1" applyAlignment="1">
      <alignment horizontal="center"/>
    </xf>
    <xf numFmtId="0" fontId="4" fillId="2" borderId="53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left" vertical="top"/>
    </xf>
    <xf numFmtId="0" fontId="16" fillId="0" borderId="29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top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65" fontId="2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/>
    <xf numFmtId="0" fontId="4" fillId="5" borderId="4" xfId="0" applyFont="1" applyFill="1" applyBorder="1" applyAlignment="1">
      <alignment horizontal="center" vertic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164" fontId="2" fillId="5" borderId="4" xfId="0" applyNumberFormat="1" applyFont="1" applyFill="1" applyBorder="1" applyAlignment="1">
      <alignment horizontal="center" vertical="center"/>
    </xf>
    <xf numFmtId="2" fontId="17" fillId="0" borderId="4" xfId="0" applyNumberFormat="1" applyFon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2" fillId="5" borderId="4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6" borderId="4" xfId="0" applyNumberFormat="1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left" vertical="center" wrapText="1"/>
    </xf>
    <xf numFmtId="0" fontId="12" fillId="4" borderId="21" xfId="0" applyFont="1" applyFill="1" applyBorder="1" applyAlignment="1">
      <alignment horizontal="left" vertical="center" wrapText="1"/>
    </xf>
    <xf numFmtId="0" fontId="12" fillId="4" borderId="53" xfId="0" applyFont="1" applyFill="1" applyBorder="1" applyAlignment="1">
      <alignment horizontal="left" vertical="center" wrapText="1"/>
    </xf>
    <xf numFmtId="0" fontId="12" fillId="4" borderId="0" xfId="0" applyFont="1" applyFill="1" applyBorder="1" applyAlignment="1">
      <alignment horizontal="left" vertical="center" wrapText="1"/>
    </xf>
    <xf numFmtId="0" fontId="12" fillId="4" borderId="49" xfId="0" applyFont="1" applyFill="1" applyBorder="1" applyAlignment="1">
      <alignment horizontal="left" vertical="center" wrapText="1"/>
    </xf>
    <xf numFmtId="0" fontId="12" fillId="4" borderId="56" xfId="0" applyFont="1" applyFill="1" applyBorder="1" applyAlignment="1">
      <alignment horizontal="left" vertical="center" wrapText="1"/>
    </xf>
    <xf numFmtId="0" fontId="12" fillId="4" borderId="57" xfId="0" applyFont="1" applyFill="1" applyBorder="1" applyAlignment="1">
      <alignment horizontal="left" vertical="center" wrapText="1"/>
    </xf>
    <xf numFmtId="0" fontId="12" fillId="4" borderId="6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1052312</xdr:colOff>
      <xdr:row>6</xdr:row>
      <xdr:rowOff>84252</xdr:rowOff>
    </xdr:from>
    <xdr:to>
      <xdr:col>4</xdr:col>
      <xdr:colOff>1287635</xdr:colOff>
      <xdr:row>6</xdr:row>
      <xdr:rowOff>196311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502479" y="1544752"/>
          <a:ext cx="235323" cy="11205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6</xdr:col>
      <xdr:colOff>899937</xdr:colOff>
      <xdr:row>6</xdr:row>
      <xdr:rowOff>83185</xdr:rowOff>
    </xdr:from>
    <xdr:to>
      <xdr:col>6</xdr:col>
      <xdr:colOff>1195233</xdr:colOff>
      <xdr:row>6</xdr:row>
      <xdr:rowOff>195244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988881" y="1543685"/>
          <a:ext cx="295296" cy="11205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8</xdr:col>
      <xdr:colOff>659651</xdr:colOff>
      <xdr:row>6</xdr:row>
      <xdr:rowOff>70100</xdr:rowOff>
    </xdr:from>
    <xdr:to>
      <xdr:col>8</xdr:col>
      <xdr:colOff>894974</xdr:colOff>
      <xdr:row>6</xdr:row>
      <xdr:rowOff>182159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631555" y="1532890"/>
          <a:ext cx="235585" cy="1117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9</xdr:col>
      <xdr:colOff>523875</xdr:colOff>
      <xdr:row>8</xdr:row>
      <xdr:rowOff>31115</xdr:rowOff>
    </xdr:from>
    <xdr:to>
      <xdr:col>9</xdr:col>
      <xdr:colOff>779145</xdr:colOff>
      <xdr:row>8</xdr:row>
      <xdr:rowOff>161925</xdr:rowOff>
    </xdr:to>
    <xdr:sp macro="" textlink="">
      <xdr:nvSpPr>
        <xdr:cNvPr id="3" name="3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677400" y="2004695"/>
          <a:ext cx="255270" cy="13081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s-CO" altLang="en-US"/>
        </a:p>
      </xdr:txBody>
    </xdr:sp>
    <xdr:clientData/>
  </xdr:twoCellAnchor>
  <xdr:twoCellAnchor>
    <xdr:from>
      <xdr:col>10</xdr:col>
      <xdr:colOff>820420</xdr:colOff>
      <xdr:row>8</xdr:row>
      <xdr:rowOff>40640</xdr:rowOff>
    </xdr:from>
    <xdr:to>
      <xdr:col>10</xdr:col>
      <xdr:colOff>1087755</xdr:colOff>
      <xdr:row>8</xdr:row>
      <xdr:rowOff>172085</xdr:rowOff>
    </xdr:to>
    <xdr:sp macro="" textlink="">
      <xdr:nvSpPr>
        <xdr:cNvPr id="6" name="3 Rectángul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155045" y="2014220"/>
          <a:ext cx="267335" cy="13144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s-CO" altLang="en-US"/>
        </a:p>
      </xdr:txBody>
    </xdr:sp>
    <xdr:clientData/>
  </xdr:twoCellAnchor>
  <xdr:twoCellAnchor editAs="oneCell">
    <xdr:from>
      <xdr:col>2</xdr:col>
      <xdr:colOff>138430</xdr:colOff>
      <xdr:row>0</xdr:row>
      <xdr:rowOff>635</xdr:rowOff>
    </xdr:from>
    <xdr:to>
      <xdr:col>3</xdr:col>
      <xdr:colOff>19615</xdr:colOff>
      <xdr:row>3</xdr:row>
      <xdr:rowOff>150495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530" y="635"/>
          <a:ext cx="1297940" cy="883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415319</xdr:colOff>
      <xdr:row>0</xdr:row>
      <xdr:rowOff>0</xdr:rowOff>
    </xdr:from>
    <xdr:to>
      <xdr:col>3</xdr:col>
      <xdr:colOff>247942</xdr:colOff>
      <xdr:row>3</xdr:row>
      <xdr:rowOff>149860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720ACE-0A96-45B4-89ED-232B361C9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24" y="0"/>
          <a:ext cx="1283524" cy="880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6"/>
  <sheetViews>
    <sheetView showGridLines="0" tabSelected="1" view="pageBreakPreview" zoomScale="78" zoomScaleNormal="90" zoomScaleSheetLayoutView="78" zoomScalePageLayoutView="90" workbookViewId="0">
      <selection activeCell="J5" sqref="J5:K5"/>
    </sheetView>
  </sheetViews>
  <sheetFormatPr baseColWidth="10" defaultColWidth="11.453125" defaultRowHeight="12.5"/>
  <cols>
    <col min="1" max="1" width="1.26953125" style="2" customWidth="1"/>
    <col min="2" max="2" width="10.7265625" style="2" customWidth="1"/>
    <col min="3" max="3" width="21.1796875" style="2" customWidth="1"/>
    <col min="4" max="4" width="16.26953125" style="2" customWidth="1"/>
    <col min="5" max="5" width="19.1796875" style="2" customWidth="1"/>
    <col min="6" max="7" width="18.54296875" style="2" customWidth="1"/>
    <col min="8" max="8" width="16.7265625" style="2" customWidth="1"/>
    <col min="9" max="9" width="20.54296875" style="2" customWidth="1"/>
    <col min="10" max="10" width="17.7265625" style="2" customWidth="1"/>
    <col min="11" max="11" width="19.1796875" style="2" customWidth="1"/>
    <col min="12" max="12" width="22" style="2" customWidth="1"/>
    <col min="13" max="13" width="1" style="2" customWidth="1"/>
    <col min="14" max="16384" width="11.453125" style="2"/>
  </cols>
  <sheetData>
    <row r="1" spans="2:12" ht="21" customHeight="1">
      <c r="B1" s="95"/>
      <c r="C1" s="96"/>
      <c r="D1" s="96"/>
      <c r="E1" s="107" t="s">
        <v>0</v>
      </c>
      <c r="F1" s="107"/>
      <c r="G1" s="107"/>
      <c r="H1" s="107"/>
      <c r="I1" s="107"/>
      <c r="J1" s="107"/>
      <c r="K1" s="101" t="s">
        <v>64</v>
      </c>
      <c r="L1" s="102"/>
    </row>
    <row r="2" spans="2:12" ht="19.5" customHeight="1">
      <c r="B2" s="97"/>
      <c r="C2" s="98"/>
      <c r="D2" s="98"/>
      <c r="E2" s="108"/>
      <c r="F2" s="108"/>
      <c r="G2" s="108"/>
      <c r="H2" s="108"/>
      <c r="I2" s="108"/>
      <c r="J2" s="108"/>
      <c r="K2" s="103"/>
      <c r="L2" s="104"/>
    </row>
    <row r="3" spans="2:12" ht="17.25" customHeight="1">
      <c r="B3" s="97"/>
      <c r="C3" s="98"/>
      <c r="D3" s="98"/>
      <c r="E3" s="108"/>
      <c r="F3" s="108"/>
      <c r="G3" s="108"/>
      <c r="H3" s="108"/>
      <c r="I3" s="108"/>
      <c r="J3" s="108"/>
      <c r="K3" s="103"/>
      <c r="L3" s="104"/>
    </row>
    <row r="4" spans="2:12" ht="17.25" customHeight="1">
      <c r="B4" s="99"/>
      <c r="C4" s="100"/>
      <c r="D4" s="100"/>
      <c r="E4" s="109"/>
      <c r="F4" s="109"/>
      <c r="G4" s="109"/>
      <c r="H4" s="109"/>
      <c r="I4" s="109"/>
      <c r="J4" s="109"/>
      <c r="K4" s="105"/>
      <c r="L4" s="106"/>
    </row>
    <row r="5" spans="2:12" ht="20.149999999999999" customHeight="1">
      <c r="B5" s="132" t="s">
        <v>1</v>
      </c>
      <c r="C5" s="133"/>
      <c r="D5" s="133"/>
      <c r="E5" s="133"/>
      <c r="F5" s="134" t="s">
        <v>2</v>
      </c>
      <c r="G5" s="133"/>
      <c r="H5" s="133"/>
      <c r="I5" s="133"/>
      <c r="J5" s="135" t="s">
        <v>3</v>
      </c>
      <c r="K5" s="136"/>
      <c r="L5" s="7" t="s">
        <v>4</v>
      </c>
    </row>
    <row r="6" spans="2:12" ht="20.149999999999999" customHeight="1">
      <c r="B6" s="3" t="s">
        <v>5</v>
      </c>
      <c r="C6" s="137"/>
      <c r="D6" s="137"/>
      <c r="E6" s="137"/>
      <c r="F6" s="46" t="s">
        <v>6</v>
      </c>
      <c r="G6" s="47"/>
      <c r="H6" s="47"/>
      <c r="I6" s="47"/>
      <c r="J6" s="48" t="s">
        <v>7</v>
      </c>
      <c r="K6" s="49"/>
      <c r="L6" s="50"/>
    </row>
    <row r="7" spans="2:12" ht="20.149999999999999" customHeight="1">
      <c r="B7" s="123" t="s">
        <v>8</v>
      </c>
      <c r="C7" s="124"/>
      <c r="D7" s="125" t="s">
        <v>9</v>
      </c>
      <c r="E7" s="125"/>
      <c r="F7" s="125" t="s">
        <v>10</v>
      </c>
      <c r="G7" s="125"/>
      <c r="H7" s="125"/>
      <c r="I7" s="8" t="s">
        <v>11</v>
      </c>
      <c r="J7" s="126" t="s">
        <v>12</v>
      </c>
      <c r="K7" s="127"/>
      <c r="L7" s="128"/>
    </row>
    <row r="8" spans="2:12" ht="14.5" customHeight="1">
      <c r="B8" s="129" t="s">
        <v>13</v>
      </c>
      <c r="C8" s="130"/>
      <c r="D8" s="130"/>
      <c r="E8" s="130"/>
      <c r="F8" s="130"/>
      <c r="G8" s="130"/>
      <c r="H8" s="130"/>
      <c r="I8" s="130"/>
      <c r="J8" s="130"/>
      <c r="K8" s="130"/>
      <c r="L8" s="131"/>
    </row>
    <row r="9" spans="2:12" s="1" customFormat="1" ht="25.5" customHeight="1">
      <c r="B9" s="60" t="s">
        <v>14</v>
      </c>
      <c r="C9" s="61"/>
      <c r="D9" s="61"/>
      <c r="E9" s="61"/>
      <c r="F9" s="62"/>
      <c r="G9" s="63" t="s">
        <v>15</v>
      </c>
      <c r="H9" s="64"/>
      <c r="I9" s="65"/>
      <c r="J9" s="9" t="s">
        <v>16</v>
      </c>
      <c r="K9" s="9" t="s">
        <v>17</v>
      </c>
      <c r="L9" s="10"/>
    </row>
    <row r="10" spans="2:12" ht="20.149999999999999" customHeight="1">
      <c r="B10" s="66" t="s">
        <v>18</v>
      </c>
      <c r="C10" s="67"/>
      <c r="D10" s="67"/>
      <c r="E10" s="67"/>
      <c r="F10" s="68"/>
      <c r="G10" s="4" t="s">
        <v>32</v>
      </c>
      <c r="H10" s="69" t="s">
        <v>19</v>
      </c>
      <c r="I10" s="70"/>
      <c r="J10" s="70"/>
      <c r="K10" s="70"/>
      <c r="L10" s="71"/>
    </row>
    <row r="11" spans="2:12" ht="20.149999999999999" customHeight="1" thickBot="1">
      <c r="B11" s="72" t="s">
        <v>20</v>
      </c>
      <c r="C11" s="73"/>
      <c r="D11" s="74"/>
      <c r="E11" s="75" t="s">
        <v>21</v>
      </c>
      <c r="F11" s="76"/>
      <c r="G11" s="77"/>
      <c r="H11" s="75" t="s">
        <v>22</v>
      </c>
      <c r="I11" s="76"/>
      <c r="J11" s="76"/>
      <c r="K11" s="75" t="s">
        <v>23</v>
      </c>
      <c r="L11" s="77"/>
    </row>
    <row r="12" spans="2:12" ht="15" thickBot="1">
      <c r="B12" s="72" t="s">
        <v>33</v>
      </c>
      <c r="C12" s="73"/>
      <c r="D12" s="5"/>
      <c r="E12" s="6" t="s">
        <v>34</v>
      </c>
      <c r="F12" s="6"/>
      <c r="G12" s="6"/>
      <c r="H12" s="6" t="s">
        <v>35</v>
      </c>
      <c r="I12" s="6"/>
      <c r="J12" s="6"/>
      <c r="K12" s="11" t="s">
        <v>36</v>
      </c>
      <c r="L12" s="12"/>
    </row>
    <row r="13" spans="2:12" ht="21" customHeight="1" thickBot="1">
      <c r="B13" s="119" t="s">
        <v>24</v>
      </c>
      <c r="C13" s="120"/>
      <c r="D13" s="120"/>
      <c r="E13" s="120"/>
      <c r="F13" s="120"/>
      <c r="G13" s="120"/>
      <c r="H13" s="120"/>
      <c r="I13" s="120"/>
      <c r="J13" s="120"/>
      <c r="K13" s="121"/>
      <c r="L13" s="122"/>
    </row>
    <row r="14" spans="2:12" ht="21" customHeight="1">
      <c r="B14" s="110" t="s">
        <v>25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2"/>
    </row>
    <row r="15" spans="2:12" ht="21" customHeight="1"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115"/>
    </row>
    <row r="16" spans="2:12" ht="21" customHeight="1"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8"/>
    </row>
    <row r="17" spans="2:12" ht="23.15" customHeight="1">
      <c r="B17" s="110" t="s">
        <v>26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2"/>
    </row>
    <row r="18" spans="2:12" ht="23.15" customHeight="1">
      <c r="B18" s="113"/>
      <c r="C18" s="114"/>
      <c r="D18" s="114"/>
      <c r="E18" s="114"/>
      <c r="F18" s="114"/>
      <c r="G18" s="114"/>
      <c r="H18" s="114"/>
      <c r="I18" s="114"/>
      <c r="J18" s="114"/>
      <c r="K18" s="114"/>
      <c r="L18" s="115"/>
    </row>
    <row r="19" spans="2:12" ht="23.15" customHeight="1">
      <c r="B19" s="116"/>
      <c r="C19" s="117"/>
      <c r="D19" s="117"/>
      <c r="E19" s="117"/>
      <c r="F19" s="117"/>
      <c r="G19" s="117"/>
      <c r="H19" s="117"/>
      <c r="I19" s="117"/>
      <c r="J19" s="117"/>
      <c r="K19" s="117"/>
      <c r="L19" s="118"/>
    </row>
    <row r="20" spans="2:12" ht="23.15" customHeight="1">
      <c r="B20" s="110" t="s">
        <v>27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2"/>
    </row>
    <row r="21" spans="2:12" ht="23.15" customHeight="1">
      <c r="B21" s="113"/>
      <c r="C21" s="114"/>
      <c r="D21" s="114"/>
      <c r="E21" s="114"/>
      <c r="F21" s="114"/>
      <c r="G21" s="114"/>
      <c r="H21" s="114"/>
      <c r="I21" s="114"/>
      <c r="J21" s="114"/>
      <c r="K21" s="114"/>
      <c r="L21" s="115"/>
    </row>
    <row r="22" spans="2:12" ht="23.15" customHeight="1">
      <c r="B22" s="113"/>
      <c r="C22" s="114"/>
      <c r="D22" s="114"/>
      <c r="E22" s="114"/>
      <c r="F22" s="114"/>
      <c r="G22" s="114"/>
      <c r="H22" s="114"/>
      <c r="I22" s="114"/>
      <c r="J22" s="114"/>
      <c r="K22" s="114"/>
      <c r="L22" s="115"/>
    </row>
    <row r="23" spans="2:12" ht="23.15" customHeight="1"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5"/>
    </row>
    <row r="24" spans="2:12" ht="23.15" customHeight="1">
      <c r="B24" s="113"/>
      <c r="C24" s="114"/>
      <c r="D24" s="114"/>
      <c r="E24" s="114"/>
      <c r="F24" s="114"/>
      <c r="G24" s="114"/>
      <c r="H24" s="114"/>
      <c r="I24" s="114"/>
      <c r="J24" s="114"/>
      <c r="K24" s="114"/>
      <c r="L24" s="115"/>
    </row>
    <row r="25" spans="2:12" ht="23.15" customHeight="1">
      <c r="B25" s="113"/>
      <c r="C25" s="114"/>
      <c r="D25" s="114"/>
      <c r="E25" s="114"/>
      <c r="F25" s="114"/>
      <c r="G25" s="114"/>
      <c r="H25" s="114"/>
      <c r="I25" s="114"/>
      <c r="J25" s="114"/>
      <c r="K25" s="114"/>
      <c r="L25" s="115"/>
    </row>
    <row r="26" spans="2:12" ht="23.15" customHeight="1">
      <c r="B26" s="113"/>
      <c r="C26" s="114"/>
      <c r="D26" s="114"/>
      <c r="E26" s="114"/>
      <c r="F26" s="114"/>
      <c r="G26" s="114"/>
      <c r="H26" s="114"/>
      <c r="I26" s="114"/>
      <c r="J26" s="114"/>
      <c r="K26" s="114"/>
      <c r="L26" s="115"/>
    </row>
    <row r="27" spans="2:12" ht="23.15" customHeight="1">
      <c r="B27" s="113"/>
      <c r="C27" s="114"/>
      <c r="D27" s="114"/>
      <c r="E27" s="114"/>
      <c r="F27" s="114"/>
      <c r="G27" s="114"/>
      <c r="H27" s="114"/>
      <c r="I27" s="114"/>
      <c r="J27" s="114"/>
      <c r="K27" s="114"/>
      <c r="L27" s="115"/>
    </row>
    <row r="28" spans="2:12" ht="24" customHeight="1">
      <c r="B28" s="51" t="s">
        <v>28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2:12" ht="15" customHeight="1"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2:12" ht="15" customHeight="1"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2:12" ht="15" customHeight="1"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2:12" ht="14">
      <c r="B32" s="91" t="s">
        <v>37</v>
      </c>
      <c r="C32" s="92"/>
      <c r="D32" s="92"/>
      <c r="E32" s="92"/>
      <c r="F32" s="92"/>
      <c r="G32" s="92"/>
      <c r="H32" s="92"/>
      <c r="I32" s="92"/>
      <c r="J32" s="92"/>
      <c r="K32" s="92"/>
      <c r="L32" s="93"/>
    </row>
    <row r="33" spans="2:12" ht="15" customHeight="1">
      <c r="B33" s="94" t="s">
        <v>29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</row>
    <row r="34" spans="2:12" ht="15" customHeight="1">
      <c r="B34" s="78" t="s">
        <v>30</v>
      </c>
      <c r="C34" s="79"/>
      <c r="D34" s="79"/>
      <c r="E34" s="79"/>
      <c r="F34" s="79"/>
      <c r="G34" s="80"/>
      <c r="H34" s="84" t="s">
        <v>31</v>
      </c>
      <c r="I34" s="85"/>
      <c r="J34" s="85"/>
      <c r="K34" s="85"/>
      <c r="L34" s="86"/>
    </row>
    <row r="35" spans="2:12">
      <c r="B35" s="78"/>
      <c r="C35" s="79"/>
      <c r="D35" s="79"/>
      <c r="E35" s="79"/>
      <c r="F35" s="79"/>
      <c r="G35" s="80"/>
      <c r="H35" s="87"/>
      <c r="I35" s="87"/>
      <c r="J35" s="87"/>
      <c r="K35" s="87"/>
      <c r="L35" s="88"/>
    </row>
    <row r="36" spans="2:12" ht="12" customHeight="1" thickBot="1">
      <c r="B36" s="81"/>
      <c r="C36" s="82"/>
      <c r="D36" s="82"/>
      <c r="E36" s="82"/>
      <c r="F36" s="82"/>
      <c r="G36" s="83"/>
      <c r="H36" s="89"/>
      <c r="I36" s="89"/>
      <c r="J36" s="89"/>
      <c r="K36" s="89"/>
      <c r="L36" s="90"/>
    </row>
  </sheetData>
  <mergeCells count="35">
    <mergeCell ref="B1:D4"/>
    <mergeCell ref="K1:L4"/>
    <mergeCell ref="E1:J4"/>
    <mergeCell ref="B14:L16"/>
    <mergeCell ref="B20:L27"/>
    <mergeCell ref="B17:L19"/>
    <mergeCell ref="B13:L13"/>
    <mergeCell ref="B7:C7"/>
    <mergeCell ref="D7:E7"/>
    <mergeCell ref="F7:H7"/>
    <mergeCell ref="J7:L7"/>
    <mergeCell ref="B8:L8"/>
    <mergeCell ref="B5:E5"/>
    <mergeCell ref="F5:I5"/>
    <mergeCell ref="J5:K5"/>
    <mergeCell ref="C6:E6"/>
    <mergeCell ref="B34:G36"/>
    <mergeCell ref="H34:L36"/>
    <mergeCell ref="B12:C12"/>
    <mergeCell ref="B32:L32"/>
    <mergeCell ref="B33:L33"/>
    <mergeCell ref="B31:L31"/>
    <mergeCell ref="F6:I6"/>
    <mergeCell ref="J6:L6"/>
    <mergeCell ref="B28:L28"/>
    <mergeCell ref="B29:L29"/>
    <mergeCell ref="B30:L30"/>
    <mergeCell ref="B9:F9"/>
    <mergeCell ref="G9:I9"/>
    <mergeCell ref="B10:F10"/>
    <mergeCell ref="H10:L10"/>
    <mergeCell ref="B11:D11"/>
    <mergeCell ref="E11:G11"/>
    <mergeCell ref="H11:J11"/>
    <mergeCell ref="K11:L11"/>
  </mergeCells>
  <printOptions horizontalCentered="1" verticalCentered="1"/>
  <pageMargins left="0.15748031496063" right="0.15748031496063" top="0.15748031496063" bottom="0.15748031496063" header="0" footer="0"/>
  <pageSetup scale="44" orientation="landscape" horizontalDpi="300" verticalDpi="300" r:id="rId1"/>
  <headerFooter>
    <oddFooter>&amp;R&amp;P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B614-164C-4534-97A8-D745ACF069C5}">
  <dimension ref="B1:AA57"/>
  <sheetViews>
    <sheetView showGridLines="0" view="pageBreakPreview" topLeftCell="G1" zoomScale="78" zoomScaleNormal="60" zoomScaleSheetLayoutView="78" zoomScalePageLayoutView="90" workbookViewId="0">
      <selection activeCell="W1" sqref="W1:AA4"/>
    </sheetView>
  </sheetViews>
  <sheetFormatPr baseColWidth="10" defaultColWidth="11.453125" defaultRowHeight="12.5"/>
  <cols>
    <col min="1" max="1" width="1.26953125" style="2" customWidth="1"/>
    <col min="2" max="2" width="10.7265625" style="2" customWidth="1"/>
    <col min="3" max="3" width="11" style="2" customWidth="1"/>
    <col min="4" max="4" width="11.81640625" style="2" customWidth="1"/>
    <col min="5" max="5" width="10.81640625" style="2" customWidth="1"/>
    <col min="6" max="6" width="12.1796875" style="2" customWidth="1"/>
    <col min="7" max="7" width="11.1796875" style="2" customWidth="1"/>
    <col min="8" max="8" width="11" style="2" customWidth="1"/>
    <col min="9" max="9" width="11.453125" style="2" customWidth="1"/>
    <col min="10" max="10" width="1.7265625" style="2" customWidth="1"/>
    <col min="11" max="11" width="10.7265625" style="2" customWidth="1"/>
    <col min="12" max="12" width="10.1796875" style="2" customWidth="1"/>
    <col min="13" max="13" width="11.7265625" style="2" customWidth="1"/>
    <col min="14" max="14" width="10.453125" style="2" customWidth="1"/>
    <col min="15" max="15" width="11.81640625" style="2" customWidth="1"/>
    <col min="16" max="17" width="11.453125" style="2"/>
    <col min="18" max="18" width="10.453125" style="2" customWidth="1"/>
    <col min="19" max="19" width="2" style="2" customWidth="1"/>
    <col min="20" max="26" width="11.453125" style="2"/>
    <col min="27" max="27" width="12.26953125" style="2" customWidth="1"/>
    <col min="28" max="16384" width="11.453125" style="2"/>
  </cols>
  <sheetData>
    <row r="1" spans="2:27" ht="21" customHeight="1">
      <c r="B1" s="206"/>
      <c r="C1" s="207"/>
      <c r="D1" s="208"/>
      <c r="E1" s="157" t="s">
        <v>0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229" t="s">
        <v>63</v>
      </c>
      <c r="X1" s="230"/>
      <c r="Y1" s="230"/>
      <c r="Z1" s="230"/>
      <c r="AA1" s="231"/>
    </row>
    <row r="2" spans="2:27" ht="19.5" customHeight="1">
      <c r="B2" s="209"/>
      <c r="C2" s="210"/>
      <c r="D2" s="211"/>
      <c r="E2" s="160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2"/>
      <c r="W2" s="232"/>
      <c r="X2" s="233"/>
      <c r="Y2" s="233"/>
      <c r="Z2" s="233"/>
      <c r="AA2" s="234"/>
    </row>
    <row r="3" spans="2:27" ht="17.25" customHeight="1">
      <c r="B3" s="209"/>
      <c r="C3" s="210"/>
      <c r="D3" s="211"/>
      <c r="E3" s="160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232"/>
      <c r="X3" s="233"/>
      <c r="Y3" s="233"/>
      <c r="Z3" s="233"/>
      <c r="AA3" s="234"/>
    </row>
    <row r="4" spans="2:27" ht="17.25" customHeight="1" thickBot="1">
      <c r="B4" s="209"/>
      <c r="C4" s="210"/>
      <c r="D4" s="211"/>
      <c r="E4" s="160"/>
      <c r="F4" s="161"/>
      <c r="G4" s="161"/>
      <c r="H4" s="161"/>
      <c r="I4" s="161"/>
      <c r="J4" s="161"/>
      <c r="K4" s="161"/>
      <c r="L4" s="161"/>
      <c r="M4" s="163"/>
      <c r="N4" s="161"/>
      <c r="O4" s="161"/>
      <c r="P4" s="163"/>
      <c r="Q4" s="163"/>
      <c r="R4" s="163"/>
      <c r="S4" s="163"/>
      <c r="T4" s="163"/>
      <c r="U4" s="163"/>
      <c r="V4" s="164"/>
      <c r="W4" s="235"/>
      <c r="X4" s="236"/>
      <c r="Y4" s="236"/>
      <c r="Z4" s="236"/>
      <c r="AA4" s="237"/>
    </row>
    <row r="5" spans="2:27" ht="20.149999999999999" customHeight="1">
      <c r="B5" s="142" t="s">
        <v>59</v>
      </c>
      <c r="C5" s="143"/>
      <c r="D5" s="144"/>
      <c r="E5" s="146"/>
      <c r="F5" s="147"/>
      <c r="G5" s="147"/>
      <c r="H5" s="147"/>
      <c r="I5" s="147"/>
      <c r="J5" s="147"/>
      <c r="K5" s="147"/>
      <c r="L5" s="148"/>
      <c r="M5" s="34" t="s">
        <v>57</v>
      </c>
      <c r="N5" s="141"/>
      <c r="O5" s="141"/>
      <c r="P5" s="134" t="s">
        <v>58</v>
      </c>
      <c r="Q5" s="133"/>
      <c r="R5" s="150"/>
      <c r="S5" s="150"/>
      <c r="T5" s="150"/>
      <c r="U5" s="150"/>
      <c r="V5" s="150"/>
      <c r="W5" s="150"/>
      <c r="X5" s="150"/>
      <c r="Y5" s="150"/>
      <c r="Z5" s="150"/>
      <c r="AA5" s="151"/>
    </row>
    <row r="6" spans="2:27" ht="20.149999999999999" customHeight="1" thickBot="1">
      <c r="B6" s="145" t="s">
        <v>56</v>
      </c>
      <c r="C6" s="47"/>
      <c r="D6" s="47"/>
      <c r="E6" s="35"/>
      <c r="F6" s="36"/>
      <c r="G6" s="36"/>
      <c r="H6" s="36"/>
      <c r="I6" s="152" t="s">
        <v>5</v>
      </c>
      <c r="J6" s="153"/>
      <c r="K6" s="153"/>
      <c r="L6" s="154"/>
      <c r="M6" s="149" t="s">
        <v>60</v>
      </c>
      <c r="N6" s="149"/>
      <c r="O6" s="149"/>
      <c r="P6" s="149"/>
      <c r="Q6" s="149"/>
      <c r="R6" s="149"/>
      <c r="S6" s="149"/>
      <c r="T6" s="155" t="s">
        <v>62</v>
      </c>
      <c r="U6" s="143"/>
      <c r="V6" s="143"/>
      <c r="W6" s="143"/>
      <c r="X6" s="143"/>
      <c r="Y6" s="143"/>
      <c r="Z6" s="143"/>
      <c r="AA6" s="156"/>
    </row>
    <row r="7" spans="2:27" ht="20.149999999999999" customHeight="1">
      <c r="B7" s="190" t="s">
        <v>13</v>
      </c>
      <c r="C7" s="191"/>
      <c r="D7" s="191"/>
      <c r="E7" s="191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3"/>
    </row>
    <row r="8" spans="2:27" ht="20.149999999999999" customHeight="1">
      <c r="B8" s="194" t="s">
        <v>38</v>
      </c>
      <c r="C8" s="195"/>
      <c r="D8" s="195"/>
      <c r="E8" s="195"/>
      <c r="F8" s="195"/>
      <c r="G8" s="195"/>
      <c r="H8" s="195"/>
      <c r="I8" s="205"/>
      <c r="J8" s="203"/>
      <c r="K8" s="194" t="s">
        <v>54</v>
      </c>
      <c r="L8" s="195"/>
      <c r="M8" s="195"/>
      <c r="N8" s="195"/>
      <c r="O8" s="195"/>
      <c r="P8" s="195"/>
      <c r="Q8" s="195"/>
      <c r="R8" s="205"/>
      <c r="S8" s="37"/>
      <c r="T8" s="194" t="s">
        <v>55</v>
      </c>
      <c r="U8" s="195"/>
      <c r="V8" s="195"/>
      <c r="W8" s="195"/>
      <c r="X8" s="195"/>
      <c r="Y8" s="195"/>
      <c r="Z8" s="195"/>
      <c r="AA8" s="196"/>
    </row>
    <row r="9" spans="2:27" ht="19.5" customHeight="1">
      <c r="B9" s="38" t="s">
        <v>39</v>
      </c>
      <c r="C9" s="16"/>
      <c r="D9" s="16"/>
      <c r="E9" s="16"/>
      <c r="F9" s="197" t="s">
        <v>41</v>
      </c>
      <c r="G9" s="198"/>
      <c r="H9" s="199"/>
      <c r="I9" s="202"/>
      <c r="J9" s="203"/>
      <c r="K9" s="16" t="s">
        <v>39</v>
      </c>
      <c r="L9" s="16"/>
      <c r="M9" s="16"/>
      <c r="N9" s="16"/>
      <c r="O9" s="197" t="s">
        <v>41</v>
      </c>
      <c r="P9" s="198"/>
      <c r="Q9" s="199"/>
      <c r="R9" s="202"/>
      <c r="S9" s="37"/>
      <c r="T9" s="16" t="s">
        <v>39</v>
      </c>
      <c r="U9" s="16"/>
      <c r="V9" s="16"/>
      <c r="W9" s="16"/>
      <c r="X9" s="197" t="s">
        <v>41</v>
      </c>
      <c r="Y9" s="198"/>
      <c r="Z9" s="199"/>
      <c r="AA9" s="200"/>
    </row>
    <row r="10" spans="2:27" ht="19.5" customHeight="1">
      <c r="B10" s="39" t="s">
        <v>40</v>
      </c>
      <c r="C10" s="18"/>
      <c r="D10" s="18"/>
      <c r="E10" s="16"/>
      <c r="F10" s="197" t="s">
        <v>41</v>
      </c>
      <c r="G10" s="198"/>
      <c r="H10" s="199"/>
      <c r="I10" s="202"/>
      <c r="J10" s="203"/>
      <c r="K10" s="17" t="s">
        <v>40</v>
      </c>
      <c r="L10" s="18"/>
      <c r="M10" s="18"/>
      <c r="N10" s="16"/>
      <c r="O10" s="197" t="s">
        <v>41</v>
      </c>
      <c r="P10" s="198"/>
      <c r="Q10" s="199"/>
      <c r="R10" s="202"/>
      <c r="S10" s="37"/>
      <c r="T10" s="17" t="s">
        <v>40</v>
      </c>
      <c r="U10" s="18"/>
      <c r="V10" s="18"/>
      <c r="W10" s="16"/>
      <c r="X10" s="197" t="s">
        <v>41</v>
      </c>
      <c r="Y10" s="198"/>
      <c r="Z10" s="199"/>
      <c r="AA10" s="200"/>
    </row>
    <row r="11" spans="2:27" ht="40.5" customHeight="1">
      <c r="B11" s="40" t="s">
        <v>52</v>
      </c>
      <c r="C11" s="21" t="s">
        <v>45</v>
      </c>
      <c r="D11" s="21" t="s">
        <v>46</v>
      </c>
      <c r="E11" s="21" t="s">
        <v>47</v>
      </c>
      <c r="F11" s="15" t="s">
        <v>48</v>
      </c>
      <c r="G11" s="21" t="s">
        <v>49</v>
      </c>
      <c r="H11" s="21" t="s">
        <v>50</v>
      </c>
      <c r="I11" s="23" t="s">
        <v>51</v>
      </c>
      <c r="J11" s="203"/>
      <c r="K11" s="20" t="s">
        <v>52</v>
      </c>
      <c r="L11" s="21" t="s">
        <v>45</v>
      </c>
      <c r="M11" s="21" t="s">
        <v>46</v>
      </c>
      <c r="N11" s="21" t="s">
        <v>47</v>
      </c>
      <c r="O11" s="15" t="s">
        <v>48</v>
      </c>
      <c r="P11" s="21" t="s">
        <v>49</v>
      </c>
      <c r="Q11" s="21" t="s">
        <v>50</v>
      </c>
      <c r="R11" s="23" t="s">
        <v>51</v>
      </c>
      <c r="S11" s="37"/>
      <c r="T11" s="20" t="s">
        <v>52</v>
      </c>
      <c r="U11" s="21" t="s">
        <v>45</v>
      </c>
      <c r="V11" s="21" t="s">
        <v>46</v>
      </c>
      <c r="W11" s="21" t="s">
        <v>47</v>
      </c>
      <c r="X11" s="15" t="s">
        <v>48</v>
      </c>
      <c r="Y11" s="21" t="s">
        <v>49</v>
      </c>
      <c r="Z11" s="21" t="s">
        <v>50</v>
      </c>
      <c r="AA11" s="41" t="s">
        <v>51</v>
      </c>
    </row>
    <row r="12" spans="2:27" ht="23.25" customHeight="1">
      <c r="B12" s="40">
        <v>1</v>
      </c>
      <c r="C12" s="222"/>
      <c r="D12" s="218"/>
      <c r="E12" s="224"/>
      <c r="F12" s="13"/>
      <c r="G12" s="219"/>
      <c r="H12" s="219"/>
      <c r="I12" s="220"/>
      <c r="J12" s="203"/>
      <c r="K12" s="20">
        <v>1</v>
      </c>
      <c r="L12" s="222"/>
      <c r="M12" s="218"/>
      <c r="N12" s="224"/>
      <c r="O12" s="13"/>
      <c r="P12" s="219"/>
      <c r="Q12" s="219"/>
      <c r="R12" s="220"/>
      <c r="S12" s="37"/>
      <c r="T12" s="20">
        <v>1</v>
      </c>
      <c r="U12" s="222"/>
      <c r="V12" s="218"/>
      <c r="W12" s="224"/>
      <c r="X12" s="13"/>
      <c r="Y12" s="219"/>
      <c r="Z12" s="219"/>
      <c r="AA12" s="220"/>
    </row>
    <row r="13" spans="2:27" ht="23.25" customHeight="1">
      <c r="B13" s="40">
        <v>2</v>
      </c>
      <c r="C13" s="222"/>
      <c r="D13" s="223" t="str">
        <f>+IF(ISBLANK(C13),"",C13+D12)</f>
        <v/>
      </c>
      <c r="E13" s="225"/>
      <c r="F13" s="13"/>
      <c r="G13" s="226" t="str">
        <f>+IF(ISBLANK(E13),"",IF(ISBLANK(F13),E12-E13,F12-F13))</f>
        <v/>
      </c>
      <c r="H13" s="226" t="str">
        <f>+IF(ISBLANK(E13),"",G13+H12)</f>
        <v/>
      </c>
      <c r="I13" s="220" t="str">
        <f>+IF(ISBLANK(E13),"",G13/C13*60)</f>
        <v/>
      </c>
      <c r="J13" s="203"/>
      <c r="K13" s="20">
        <v>2</v>
      </c>
      <c r="L13" s="222"/>
      <c r="M13" s="223" t="str">
        <f>+IF(ISBLANK(L13),"",L13+M12)</f>
        <v/>
      </c>
      <c r="N13" s="225"/>
      <c r="O13" s="13"/>
      <c r="P13" s="226" t="str">
        <f>+IF(ISBLANK(N13),"",IF(ISBLANK(O13),N12-N13,O12-O13))</f>
        <v/>
      </c>
      <c r="Q13" s="226" t="str">
        <f>+IF(ISBLANK(N13),"",P13+Q12)</f>
        <v/>
      </c>
      <c r="R13" s="220" t="str">
        <f>+IF(ISBLANK(N13),"",P13/L13*60)</f>
        <v/>
      </c>
      <c r="S13" s="37"/>
      <c r="T13" s="20">
        <v>2</v>
      </c>
      <c r="U13" s="222"/>
      <c r="V13" s="223" t="str">
        <f>+IF(ISBLANK(U13),"",U13+V12)</f>
        <v/>
      </c>
      <c r="W13" s="225"/>
      <c r="X13" s="13"/>
      <c r="Y13" s="226" t="str">
        <f>+IF(ISBLANK(W13),"",IF(ISBLANK(X13),W12-W13,X12-X13))</f>
        <v/>
      </c>
      <c r="Z13" s="226" t="str">
        <f>+IF(ISBLANK(W13),"",Y13+Z12)</f>
        <v/>
      </c>
      <c r="AA13" s="220" t="str">
        <f>+IF(ISBLANK(W13),"",Y13/U13*60)</f>
        <v/>
      </c>
    </row>
    <row r="14" spans="2:27" ht="23.25" customHeight="1">
      <c r="B14" s="40">
        <v>3</v>
      </c>
      <c r="C14" s="222"/>
      <c r="D14" s="223" t="str">
        <f t="shared" ref="D14:D28" si="0">+IF(ISBLANK(C14),"",C14+D13)</f>
        <v/>
      </c>
      <c r="E14" s="225"/>
      <c r="F14" s="13"/>
      <c r="G14" s="226" t="str">
        <f t="shared" ref="G14:G27" si="1">+IF(ISBLANK(E14),"",IF(ISBLANK(F14),E13-E14,F13-F14))</f>
        <v/>
      </c>
      <c r="H14" s="226" t="str">
        <f t="shared" ref="H14:H27" si="2">+IF(ISBLANK(E14),"",G14+H13)</f>
        <v/>
      </c>
      <c r="I14" s="220" t="str">
        <f t="shared" ref="I14:I28" si="3">+IF(ISBLANK(E14),"",G14/C14*60)</f>
        <v/>
      </c>
      <c r="J14" s="203"/>
      <c r="K14" s="20">
        <v>3</v>
      </c>
      <c r="L14" s="222"/>
      <c r="M14" s="223" t="str">
        <f t="shared" ref="M14:M28" si="4">+IF(ISBLANK(L14),"",L14+M13)</f>
        <v/>
      </c>
      <c r="N14" s="225"/>
      <c r="O14" s="13"/>
      <c r="P14" s="226" t="str">
        <f t="shared" ref="P14:P27" si="5">+IF(ISBLANK(N14),"",IF(ISBLANK(O14),N13-N14,O13-O14))</f>
        <v/>
      </c>
      <c r="Q14" s="226" t="str">
        <f t="shared" ref="Q14:Q27" si="6">+IF(ISBLANK(N14),"",P14+Q13)</f>
        <v/>
      </c>
      <c r="R14" s="220" t="str">
        <f t="shared" ref="R14:R28" si="7">+IF(ISBLANK(N14),"",P14/L14*60)</f>
        <v/>
      </c>
      <c r="S14" s="37"/>
      <c r="T14" s="20">
        <v>3</v>
      </c>
      <c r="U14" s="222"/>
      <c r="V14" s="223" t="str">
        <f t="shared" ref="V14:V28" si="8">+IF(ISBLANK(U14),"",U14+V13)</f>
        <v/>
      </c>
      <c r="W14" s="225"/>
      <c r="X14" s="13"/>
      <c r="Y14" s="226" t="str">
        <f t="shared" ref="Y14:Y27" si="9">+IF(ISBLANK(W14),"",IF(ISBLANK(X14),W13-W14,X13-X14))</f>
        <v/>
      </c>
      <c r="Z14" s="226" t="str">
        <f t="shared" ref="Z14:Z27" si="10">+IF(ISBLANK(W14),"",Y14+Z13)</f>
        <v/>
      </c>
      <c r="AA14" s="220" t="str">
        <f t="shared" ref="AA14:AA28" si="11">+IF(ISBLANK(W14),"",Y14/U14*60)</f>
        <v/>
      </c>
    </row>
    <row r="15" spans="2:27" ht="23.25" customHeight="1">
      <c r="B15" s="40">
        <v>4</v>
      </c>
      <c r="C15" s="222"/>
      <c r="D15" s="223" t="str">
        <f t="shared" si="0"/>
        <v/>
      </c>
      <c r="E15" s="224"/>
      <c r="F15" s="13"/>
      <c r="G15" s="226" t="str">
        <f t="shared" si="1"/>
        <v/>
      </c>
      <c r="H15" s="226" t="str">
        <f t="shared" si="2"/>
        <v/>
      </c>
      <c r="I15" s="220" t="str">
        <f t="shared" si="3"/>
        <v/>
      </c>
      <c r="J15" s="203"/>
      <c r="K15" s="20">
        <v>4</v>
      </c>
      <c r="L15" s="222"/>
      <c r="M15" s="223" t="str">
        <f t="shared" si="4"/>
        <v/>
      </c>
      <c r="N15" s="224"/>
      <c r="O15" s="13"/>
      <c r="P15" s="226" t="str">
        <f t="shared" si="5"/>
        <v/>
      </c>
      <c r="Q15" s="226" t="str">
        <f t="shared" si="6"/>
        <v/>
      </c>
      <c r="R15" s="220" t="str">
        <f t="shared" si="7"/>
        <v/>
      </c>
      <c r="S15" s="37"/>
      <c r="T15" s="20">
        <v>4</v>
      </c>
      <c r="U15" s="222"/>
      <c r="V15" s="223" t="str">
        <f t="shared" si="8"/>
        <v/>
      </c>
      <c r="W15" s="224"/>
      <c r="X15" s="13"/>
      <c r="Y15" s="226" t="str">
        <f t="shared" si="9"/>
        <v/>
      </c>
      <c r="Z15" s="226" t="str">
        <f t="shared" si="10"/>
        <v/>
      </c>
      <c r="AA15" s="220" t="str">
        <f t="shared" si="11"/>
        <v/>
      </c>
    </row>
    <row r="16" spans="2:27" ht="23.25" customHeight="1">
      <c r="B16" s="40">
        <v>5</v>
      </c>
      <c r="C16" s="222"/>
      <c r="D16" s="223" t="str">
        <f t="shared" si="0"/>
        <v/>
      </c>
      <c r="E16" s="224"/>
      <c r="F16" s="13"/>
      <c r="G16" s="226" t="str">
        <f t="shared" si="1"/>
        <v/>
      </c>
      <c r="H16" s="226" t="str">
        <f t="shared" si="2"/>
        <v/>
      </c>
      <c r="I16" s="220" t="str">
        <f t="shared" si="3"/>
        <v/>
      </c>
      <c r="J16" s="203"/>
      <c r="K16" s="20">
        <v>5</v>
      </c>
      <c r="L16" s="222"/>
      <c r="M16" s="223" t="str">
        <f t="shared" si="4"/>
        <v/>
      </c>
      <c r="N16" s="224"/>
      <c r="O16" s="13"/>
      <c r="P16" s="226" t="str">
        <f t="shared" si="5"/>
        <v/>
      </c>
      <c r="Q16" s="226" t="str">
        <f t="shared" si="6"/>
        <v/>
      </c>
      <c r="R16" s="220" t="str">
        <f t="shared" si="7"/>
        <v/>
      </c>
      <c r="S16" s="37"/>
      <c r="T16" s="20">
        <v>5</v>
      </c>
      <c r="U16" s="222"/>
      <c r="V16" s="223" t="str">
        <f t="shared" si="8"/>
        <v/>
      </c>
      <c r="W16" s="224"/>
      <c r="X16" s="13"/>
      <c r="Y16" s="226" t="str">
        <f t="shared" si="9"/>
        <v/>
      </c>
      <c r="Z16" s="226" t="str">
        <f t="shared" si="10"/>
        <v/>
      </c>
      <c r="AA16" s="220" t="str">
        <f t="shared" si="11"/>
        <v/>
      </c>
    </row>
    <row r="17" spans="2:27" ht="23.25" customHeight="1">
      <c r="B17" s="40">
        <v>6</v>
      </c>
      <c r="C17" s="222"/>
      <c r="D17" s="223" t="str">
        <f t="shared" si="0"/>
        <v/>
      </c>
      <c r="E17" s="224"/>
      <c r="F17" s="13"/>
      <c r="G17" s="226" t="str">
        <f t="shared" si="1"/>
        <v/>
      </c>
      <c r="H17" s="226" t="str">
        <f t="shared" si="2"/>
        <v/>
      </c>
      <c r="I17" s="220" t="str">
        <f t="shared" si="3"/>
        <v/>
      </c>
      <c r="J17" s="203"/>
      <c r="K17" s="20">
        <v>6</v>
      </c>
      <c r="L17" s="222"/>
      <c r="M17" s="223" t="str">
        <f t="shared" si="4"/>
        <v/>
      </c>
      <c r="N17" s="224"/>
      <c r="O17" s="13"/>
      <c r="P17" s="226" t="str">
        <f t="shared" si="5"/>
        <v/>
      </c>
      <c r="Q17" s="226" t="str">
        <f t="shared" si="6"/>
        <v/>
      </c>
      <c r="R17" s="220" t="str">
        <f t="shared" si="7"/>
        <v/>
      </c>
      <c r="S17" s="37"/>
      <c r="T17" s="20">
        <v>6</v>
      </c>
      <c r="U17" s="222"/>
      <c r="V17" s="223" t="str">
        <f t="shared" si="8"/>
        <v/>
      </c>
      <c r="W17" s="224"/>
      <c r="X17" s="13"/>
      <c r="Y17" s="226" t="str">
        <f t="shared" si="9"/>
        <v/>
      </c>
      <c r="Z17" s="226" t="str">
        <f t="shared" si="10"/>
        <v/>
      </c>
      <c r="AA17" s="220" t="str">
        <f t="shared" si="11"/>
        <v/>
      </c>
    </row>
    <row r="18" spans="2:27" ht="23.25" customHeight="1">
      <c r="B18" s="40">
        <v>7</v>
      </c>
      <c r="C18" s="222"/>
      <c r="D18" s="223" t="str">
        <f t="shared" si="0"/>
        <v/>
      </c>
      <c r="E18" s="224"/>
      <c r="F18" s="13"/>
      <c r="G18" s="226" t="str">
        <f t="shared" si="1"/>
        <v/>
      </c>
      <c r="H18" s="226" t="str">
        <f t="shared" si="2"/>
        <v/>
      </c>
      <c r="I18" s="220" t="str">
        <f t="shared" si="3"/>
        <v/>
      </c>
      <c r="J18" s="203"/>
      <c r="K18" s="20">
        <v>7</v>
      </c>
      <c r="L18" s="222"/>
      <c r="M18" s="223" t="str">
        <f t="shared" si="4"/>
        <v/>
      </c>
      <c r="N18" s="224"/>
      <c r="O18" s="13"/>
      <c r="P18" s="226" t="str">
        <f t="shared" si="5"/>
        <v/>
      </c>
      <c r="Q18" s="226" t="str">
        <f t="shared" si="6"/>
        <v/>
      </c>
      <c r="R18" s="220" t="str">
        <f t="shared" si="7"/>
        <v/>
      </c>
      <c r="S18" s="37"/>
      <c r="T18" s="20">
        <v>7</v>
      </c>
      <c r="U18" s="222"/>
      <c r="V18" s="223" t="str">
        <f t="shared" si="8"/>
        <v/>
      </c>
      <c r="W18" s="224"/>
      <c r="X18" s="13"/>
      <c r="Y18" s="226" t="str">
        <f t="shared" si="9"/>
        <v/>
      </c>
      <c r="Z18" s="226" t="str">
        <f t="shared" si="10"/>
        <v/>
      </c>
      <c r="AA18" s="220" t="str">
        <f t="shared" si="11"/>
        <v/>
      </c>
    </row>
    <row r="19" spans="2:27" ht="23.25" customHeight="1">
      <c r="B19" s="40">
        <v>8</v>
      </c>
      <c r="C19" s="222"/>
      <c r="D19" s="223" t="str">
        <f t="shared" si="0"/>
        <v/>
      </c>
      <c r="E19" s="224"/>
      <c r="F19" s="13"/>
      <c r="G19" s="226" t="str">
        <f t="shared" si="1"/>
        <v/>
      </c>
      <c r="H19" s="226" t="str">
        <f t="shared" si="2"/>
        <v/>
      </c>
      <c r="I19" s="220" t="str">
        <f t="shared" si="3"/>
        <v/>
      </c>
      <c r="J19" s="203"/>
      <c r="K19" s="20">
        <v>8</v>
      </c>
      <c r="L19" s="222"/>
      <c r="M19" s="223" t="str">
        <f t="shared" si="4"/>
        <v/>
      </c>
      <c r="N19" s="224"/>
      <c r="O19" s="13"/>
      <c r="P19" s="226" t="str">
        <f t="shared" si="5"/>
        <v/>
      </c>
      <c r="Q19" s="226" t="str">
        <f t="shared" si="6"/>
        <v/>
      </c>
      <c r="R19" s="220" t="str">
        <f t="shared" si="7"/>
        <v/>
      </c>
      <c r="S19" s="37"/>
      <c r="T19" s="20">
        <v>8</v>
      </c>
      <c r="U19" s="222"/>
      <c r="V19" s="223" t="str">
        <f t="shared" si="8"/>
        <v/>
      </c>
      <c r="W19" s="224"/>
      <c r="X19" s="13"/>
      <c r="Y19" s="226" t="str">
        <f t="shared" si="9"/>
        <v/>
      </c>
      <c r="Z19" s="226" t="str">
        <f t="shared" si="10"/>
        <v/>
      </c>
      <c r="AA19" s="220" t="str">
        <f t="shared" si="11"/>
        <v/>
      </c>
    </row>
    <row r="20" spans="2:27" ht="23.25" customHeight="1">
      <c r="B20" s="40">
        <v>9</v>
      </c>
      <c r="C20" s="222"/>
      <c r="D20" s="223" t="str">
        <f t="shared" si="0"/>
        <v/>
      </c>
      <c r="E20" s="224"/>
      <c r="F20" s="13"/>
      <c r="G20" s="226" t="str">
        <f t="shared" si="1"/>
        <v/>
      </c>
      <c r="H20" s="226" t="str">
        <f t="shared" si="2"/>
        <v/>
      </c>
      <c r="I20" s="220" t="str">
        <f t="shared" si="3"/>
        <v/>
      </c>
      <c r="J20" s="203"/>
      <c r="K20" s="20">
        <v>9</v>
      </c>
      <c r="L20" s="222"/>
      <c r="M20" s="223" t="str">
        <f t="shared" si="4"/>
        <v/>
      </c>
      <c r="N20" s="224"/>
      <c r="O20" s="13"/>
      <c r="P20" s="226" t="str">
        <f t="shared" si="5"/>
        <v/>
      </c>
      <c r="Q20" s="226" t="str">
        <f t="shared" si="6"/>
        <v/>
      </c>
      <c r="R20" s="220" t="str">
        <f t="shared" si="7"/>
        <v/>
      </c>
      <c r="S20" s="37"/>
      <c r="T20" s="20">
        <v>9</v>
      </c>
      <c r="U20" s="222"/>
      <c r="V20" s="223" t="str">
        <f t="shared" si="8"/>
        <v/>
      </c>
      <c r="W20" s="224"/>
      <c r="X20" s="13"/>
      <c r="Y20" s="226" t="str">
        <f t="shared" si="9"/>
        <v/>
      </c>
      <c r="Z20" s="226" t="str">
        <f t="shared" si="10"/>
        <v/>
      </c>
      <c r="AA20" s="220" t="str">
        <f t="shared" si="11"/>
        <v/>
      </c>
    </row>
    <row r="21" spans="2:27" ht="23.25" customHeight="1">
      <c r="B21" s="40">
        <v>10</v>
      </c>
      <c r="C21" s="222"/>
      <c r="D21" s="223" t="str">
        <f t="shared" si="0"/>
        <v/>
      </c>
      <c r="E21" s="225"/>
      <c r="F21" s="13"/>
      <c r="G21" s="226" t="str">
        <f t="shared" si="1"/>
        <v/>
      </c>
      <c r="H21" s="226" t="str">
        <f t="shared" si="2"/>
        <v/>
      </c>
      <c r="I21" s="220" t="str">
        <f t="shared" si="3"/>
        <v/>
      </c>
      <c r="J21" s="203"/>
      <c r="K21" s="20">
        <v>10</v>
      </c>
      <c r="L21" s="222"/>
      <c r="M21" s="223" t="str">
        <f t="shared" si="4"/>
        <v/>
      </c>
      <c r="N21" s="225"/>
      <c r="O21" s="13"/>
      <c r="P21" s="226" t="str">
        <f t="shared" si="5"/>
        <v/>
      </c>
      <c r="Q21" s="226" t="str">
        <f t="shared" si="6"/>
        <v/>
      </c>
      <c r="R21" s="220" t="str">
        <f t="shared" si="7"/>
        <v/>
      </c>
      <c r="S21" s="37"/>
      <c r="T21" s="20">
        <v>10</v>
      </c>
      <c r="U21" s="222"/>
      <c r="V21" s="223" t="str">
        <f t="shared" si="8"/>
        <v/>
      </c>
      <c r="W21" s="225"/>
      <c r="X21" s="13"/>
      <c r="Y21" s="226" t="str">
        <f t="shared" si="9"/>
        <v/>
      </c>
      <c r="Z21" s="226" t="str">
        <f t="shared" si="10"/>
        <v/>
      </c>
      <c r="AA21" s="220" t="str">
        <f t="shared" si="11"/>
        <v/>
      </c>
    </row>
    <row r="22" spans="2:27" ht="23.25" customHeight="1">
      <c r="B22" s="40">
        <v>11</v>
      </c>
      <c r="C22" s="222"/>
      <c r="D22" s="223" t="str">
        <f t="shared" si="0"/>
        <v/>
      </c>
      <c r="E22" s="225"/>
      <c r="F22" s="14"/>
      <c r="G22" s="226" t="str">
        <f t="shared" si="1"/>
        <v/>
      </c>
      <c r="H22" s="226" t="str">
        <f t="shared" si="2"/>
        <v/>
      </c>
      <c r="I22" s="220" t="str">
        <f t="shared" si="3"/>
        <v/>
      </c>
      <c r="J22" s="203"/>
      <c r="K22" s="20">
        <v>11</v>
      </c>
      <c r="L22" s="222"/>
      <c r="M22" s="223" t="str">
        <f t="shared" si="4"/>
        <v/>
      </c>
      <c r="N22" s="225"/>
      <c r="O22" s="14"/>
      <c r="P22" s="226" t="str">
        <f t="shared" si="5"/>
        <v/>
      </c>
      <c r="Q22" s="226" t="str">
        <f t="shared" si="6"/>
        <v/>
      </c>
      <c r="R22" s="220" t="str">
        <f t="shared" si="7"/>
        <v/>
      </c>
      <c r="S22" s="37"/>
      <c r="T22" s="20">
        <v>11</v>
      </c>
      <c r="U22" s="222"/>
      <c r="V22" s="223" t="str">
        <f t="shared" si="8"/>
        <v/>
      </c>
      <c r="W22" s="225"/>
      <c r="X22" s="14"/>
      <c r="Y22" s="226" t="str">
        <f t="shared" si="9"/>
        <v/>
      </c>
      <c r="Z22" s="226" t="str">
        <f t="shared" si="10"/>
        <v/>
      </c>
      <c r="AA22" s="220" t="str">
        <f t="shared" si="11"/>
        <v/>
      </c>
    </row>
    <row r="23" spans="2:27" ht="23.25" customHeight="1">
      <c r="B23" s="40">
        <v>12</v>
      </c>
      <c r="C23" s="222"/>
      <c r="D23" s="223" t="str">
        <f t="shared" si="0"/>
        <v/>
      </c>
      <c r="E23" s="225"/>
      <c r="F23" s="13"/>
      <c r="G23" s="226" t="str">
        <f t="shared" si="1"/>
        <v/>
      </c>
      <c r="H23" s="226" t="str">
        <f t="shared" si="2"/>
        <v/>
      </c>
      <c r="I23" s="220" t="str">
        <f t="shared" si="3"/>
        <v/>
      </c>
      <c r="J23" s="203"/>
      <c r="K23" s="20">
        <v>12</v>
      </c>
      <c r="L23" s="222"/>
      <c r="M23" s="223" t="str">
        <f t="shared" si="4"/>
        <v/>
      </c>
      <c r="N23" s="225"/>
      <c r="O23" s="13"/>
      <c r="P23" s="226" t="str">
        <f t="shared" si="5"/>
        <v/>
      </c>
      <c r="Q23" s="226" t="str">
        <f t="shared" si="6"/>
        <v/>
      </c>
      <c r="R23" s="220" t="str">
        <f t="shared" si="7"/>
        <v/>
      </c>
      <c r="S23" s="37"/>
      <c r="T23" s="20">
        <v>12</v>
      </c>
      <c r="U23" s="222"/>
      <c r="V23" s="223" t="str">
        <f t="shared" si="8"/>
        <v/>
      </c>
      <c r="W23" s="225"/>
      <c r="X23" s="13"/>
      <c r="Y23" s="226" t="str">
        <f t="shared" si="9"/>
        <v/>
      </c>
      <c r="Z23" s="226" t="str">
        <f t="shared" si="10"/>
        <v/>
      </c>
      <c r="AA23" s="220" t="str">
        <f t="shared" si="11"/>
        <v/>
      </c>
    </row>
    <row r="24" spans="2:27" ht="23.25" customHeight="1">
      <c r="B24" s="40">
        <v>13</v>
      </c>
      <c r="C24" s="222"/>
      <c r="D24" s="223" t="str">
        <f t="shared" si="0"/>
        <v/>
      </c>
      <c r="E24" s="225"/>
      <c r="F24" s="13"/>
      <c r="G24" s="226" t="str">
        <f t="shared" si="1"/>
        <v/>
      </c>
      <c r="H24" s="226" t="str">
        <f t="shared" si="2"/>
        <v/>
      </c>
      <c r="I24" s="220" t="str">
        <f t="shared" si="3"/>
        <v/>
      </c>
      <c r="J24" s="203"/>
      <c r="K24" s="20">
        <v>13</v>
      </c>
      <c r="L24" s="222"/>
      <c r="M24" s="223" t="str">
        <f t="shared" si="4"/>
        <v/>
      </c>
      <c r="N24" s="225"/>
      <c r="O24" s="13"/>
      <c r="P24" s="226" t="str">
        <f t="shared" si="5"/>
        <v/>
      </c>
      <c r="Q24" s="226" t="str">
        <f t="shared" si="6"/>
        <v/>
      </c>
      <c r="R24" s="220" t="str">
        <f t="shared" si="7"/>
        <v/>
      </c>
      <c r="S24" s="37"/>
      <c r="T24" s="20">
        <v>13</v>
      </c>
      <c r="U24" s="222"/>
      <c r="V24" s="223" t="str">
        <f t="shared" si="8"/>
        <v/>
      </c>
      <c r="W24" s="225"/>
      <c r="X24" s="13"/>
      <c r="Y24" s="226" t="str">
        <f t="shared" si="9"/>
        <v/>
      </c>
      <c r="Z24" s="226" t="str">
        <f t="shared" si="10"/>
        <v/>
      </c>
      <c r="AA24" s="220" t="str">
        <f t="shared" si="11"/>
        <v/>
      </c>
    </row>
    <row r="25" spans="2:27" ht="23.25" customHeight="1">
      <c r="B25" s="40">
        <v>14</v>
      </c>
      <c r="C25" s="222"/>
      <c r="D25" s="223" t="str">
        <f t="shared" si="0"/>
        <v/>
      </c>
      <c r="E25" s="225"/>
      <c r="F25" s="13"/>
      <c r="G25" s="226" t="str">
        <f t="shared" si="1"/>
        <v/>
      </c>
      <c r="H25" s="226" t="str">
        <f t="shared" si="2"/>
        <v/>
      </c>
      <c r="I25" s="220" t="str">
        <f t="shared" si="3"/>
        <v/>
      </c>
      <c r="J25" s="203"/>
      <c r="K25" s="20">
        <v>14</v>
      </c>
      <c r="L25" s="222"/>
      <c r="M25" s="223" t="str">
        <f t="shared" si="4"/>
        <v/>
      </c>
      <c r="N25" s="225"/>
      <c r="O25" s="13"/>
      <c r="P25" s="226" t="str">
        <f t="shared" si="5"/>
        <v/>
      </c>
      <c r="Q25" s="226" t="str">
        <f t="shared" si="6"/>
        <v/>
      </c>
      <c r="R25" s="220" t="str">
        <f t="shared" si="7"/>
        <v/>
      </c>
      <c r="S25" s="37"/>
      <c r="T25" s="20">
        <v>14</v>
      </c>
      <c r="U25" s="222"/>
      <c r="V25" s="223" t="str">
        <f t="shared" si="8"/>
        <v/>
      </c>
      <c r="W25" s="225"/>
      <c r="X25" s="13"/>
      <c r="Y25" s="226" t="str">
        <f t="shared" si="9"/>
        <v/>
      </c>
      <c r="Z25" s="226" t="str">
        <f t="shared" si="10"/>
        <v/>
      </c>
      <c r="AA25" s="220" t="str">
        <f t="shared" si="11"/>
        <v/>
      </c>
    </row>
    <row r="26" spans="2:27" ht="23.25" customHeight="1">
      <c r="B26" s="40">
        <v>15</v>
      </c>
      <c r="C26" s="222"/>
      <c r="D26" s="223" t="str">
        <f t="shared" si="0"/>
        <v/>
      </c>
      <c r="E26" s="225"/>
      <c r="F26" s="13"/>
      <c r="G26" s="226" t="str">
        <f t="shared" si="1"/>
        <v/>
      </c>
      <c r="H26" s="226" t="str">
        <f t="shared" si="2"/>
        <v/>
      </c>
      <c r="I26" s="220" t="str">
        <f t="shared" si="3"/>
        <v/>
      </c>
      <c r="J26" s="203"/>
      <c r="K26" s="20">
        <v>15</v>
      </c>
      <c r="L26" s="222"/>
      <c r="M26" s="223" t="str">
        <f t="shared" si="4"/>
        <v/>
      </c>
      <c r="N26" s="225"/>
      <c r="O26" s="13"/>
      <c r="P26" s="226" t="str">
        <f t="shared" si="5"/>
        <v/>
      </c>
      <c r="Q26" s="226" t="str">
        <f t="shared" si="6"/>
        <v/>
      </c>
      <c r="R26" s="220" t="str">
        <f t="shared" si="7"/>
        <v/>
      </c>
      <c r="S26" s="37"/>
      <c r="T26" s="20">
        <v>15</v>
      </c>
      <c r="U26" s="222"/>
      <c r="V26" s="223" t="str">
        <f t="shared" si="8"/>
        <v/>
      </c>
      <c r="W26" s="225"/>
      <c r="X26" s="13"/>
      <c r="Y26" s="226" t="str">
        <f t="shared" si="9"/>
        <v/>
      </c>
      <c r="Z26" s="226" t="str">
        <f t="shared" si="10"/>
        <v/>
      </c>
      <c r="AA26" s="220" t="str">
        <f t="shared" si="11"/>
        <v/>
      </c>
    </row>
    <row r="27" spans="2:27" ht="23.25" customHeight="1">
      <c r="B27" s="40">
        <v>16</v>
      </c>
      <c r="C27" s="222"/>
      <c r="D27" s="223" t="str">
        <f t="shared" si="0"/>
        <v/>
      </c>
      <c r="E27" s="225"/>
      <c r="F27" s="13"/>
      <c r="G27" s="226" t="str">
        <f t="shared" si="1"/>
        <v/>
      </c>
      <c r="H27" s="226" t="str">
        <f t="shared" si="2"/>
        <v/>
      </c>
      <c r="I27" s="220" t="str">
        <f t="shared" si="3"/>
        <v/>
      </c>
      <c r="J27" s="203"/>
      <c r="K27" s="45">
        <v>16</v>
      </c>
      <c r="L27" s="222"/>
      <c r="M27" s="223" t="str">
        <f t="shared" si="4"/>
        <v/>
      </c>
      <c r="N27" s="225"/>
      <c r="O27" s="13"/>
      <c r="P27" s="226" t="str">
        <f t="shared" si="5"/>
        <v/>
      </c>
      <c r="Q27" s="226" t="str">
        <f t="shared" si="6"/>
        <v/>
      </c>
      <c r="R27" s="220" t="str">
        <f t="shared" si="7"/>
        <v/>
      </c>
      <c r="S27" s="37"/>
      <c r="T27" s="45">
        <v>16</v>
      </c>
      <c r="U27" s="222"/>
      <c r="V27" s="223" t="str">
        <f t="shared" si="8"/>
        <v/>
      </c>
      <c r="W27" s="225"/>
      <c r="X27" s="13"/>
      <c r="Y27" s="226" t="str">
        <f t="shared" si="9"/>
        <v/>
      </c>
      <c r="Z27" s="226" t="str">
        <f t="shared" si="10"/>
        <v/>
      </c>
      <c r="AA27" s="220" t="str">
        <f t="shared" si="11"/>
        <v/>
      </c>
    </row>
    <row r="28" spans="2:27" ht="23.25" customHeight="1">
      <c r="B28" s="40">
        <v>17</v>
      </c>
      <c r="C28" s="222"/>
      <c r="D28" s="223" t="str">
        <f t="shared" si="0"/>
        <v/>
      </c>
      <c r="E28" s="225"/>
      <c r="F28" s="13"/>
      <c r="G28" s="226" t="str">
        <f>+IF(ISBLANK(E28),"",IF(ISBLANK(F28),E26-E28,F26-F28))</f>
        <v/>
      </c>
      <c r="H28" s="226" t="str">
        <f>+IF(ISBLANK(E28),"",G28+H26)</f>
        <v/>
      </c>
      <c r="I28" s="220" t="str">
        <f t="shared" si="3"/>
        <v/>
      </c>
      <c r="J28" s="204"/>
      <c r="K28" s="45">
        <v>17</v>
      </c>
      <c r="L28" s="222"/>
      <c r="M28" s="223" t="str">
        <f t="shared" si="4"/>
        <v/>
      </c>
      <c r="N28" s="225"/>
      <c r="O28" s="13"/>
      <c r="P28" s="226" t="str">
        <f>+IF(ISBLANK(N28),"",IF(ISBLANK(O28),N26-N28,O26-O28))</f>
        <v/>
      </c>
      <c r="Q28" s="226" t="str">
        <f>+IF(ISBLANK(N28),"",P28+Q26)</f>
        <v/>
      </c>
      <c r="R28" s="220" t="str">
        <f t="shared" si="7"/>
        <v/>
      </c>
      <c r="S28" s="37"/>
      <c r="T28" s="20">
        <v>17</v>
      </c>
      <c r="U28" s="222"/>
      <c r="V28" s="223" t="str">
        <f t="shared" si="8"/>
        <v/>
      </c>
      <c r="W28" s="225"/>
      <c r="X28" s="13"/>
      <c r="Y28" s="226" t="str">
        <f>+IF(ISBLANK(W28),"",IF(ISBLANK(X28),W26-W28,X26-X28))</f>
        <v/>
      </c>
      <c r="Z28" s="226" t="str">
        <f>+IF(ISBLANK(W28),"",Y28+Z26)</f>
        <v/>
      </c>
      <c r="AA28" s="220" t="str">
        <f t="shared" si="11"/>
        <v/>
      </c>
    </row>
    <row r="29" spans="2:27" ht="23.25" customHeight="1">
      <c r="B29" s="216"/>
      <c r="C29" s="217"/>
      <c r="D29" s="217"/>
      <c r="E29" s="217"/>
      <c r="F29" s="217"/>
      <c r="G29" s="217"/>
      <c r="H29" s="217"/>
      <c r="I29" s="217"/>
      <c r="J29" s="19"/>
      <c r="K29" s="29"/>
      <c r="L29" s="29"/>
      <c r="M29" s="29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42"/>
    </row>
    <row r="30" spans="2:27" ht="23.25" customHeight="1">
      <c r="B30" s="138" t="s">
        <v>44</v>
      </c>
      <c r="C30" s="139"/>
      <c r="D30" s="139"/>
      <c r="E30" s="139"/>
      <c r="F30" s="140"/>
      <c r="G30" s="221" t="str">
        <f>I13</f>
        <v/>
      </c>
      <c r="H30" s="221"/>
      <c r="I30" s="221"/>
      <c r="J30" s="19"/>
      <c r="K30" s="201" t="s">
        <v>44</v>
      </c>
      <c r="L30" s="139"/>
      <c r="M30" s="139"/>
      <c r="N30" s="139"/>
      <c r="O30" s="140"/>
      <c r="P30" s="221" t="str">
        <f>R13</f>
        <v/>
      </c>
      <c r="Q30" s="221"/>
      <c r="R30" s="221"/>
      <c r="S30" s="37"/>
      <c r="T30" s="201" t="s">
        <v>44</v>
      </c>
      <c r="U30" s="139"/>
      <c r="V30" s="139"/>
      <c r="W30" s="139"/>
      <c r="X30" s="140"/>
      <c r="Y30" s="221" t="str">
        <f>AA13</f>
        <v/>
      </c>
      <c r="Z30" s="221"/>
      <c r="AA30" s="221"/>
    </row>
    <row r="31" spans="2:27" ht="23.25" customHeight="1">
      <c r="B31" s="213" t="s">
        <v>42</v>
      </c>
      <c r="C31" s="185"/>
      <c r="D31" s="185"/>
      <c r="E31" s="185"/>
      <c r="F31" s="186"/>
      <c r="G31" s="227" t="str">
        <f>+IF(ISBLANK(E13),"",SLOPE(H12:H28,D12:D28))</f>
        <v/>
      </c>
      <c r="H31" s="227"/>
      <c r="I31" s="227"/>
      <c r="J31" s="19"/>
      <c r="K31" s="184" t="s">
        <v>42</v>
      </c>
      <c r="L31" s="185"/>
      <c r="M31" s="185"/>
      <c r="N31" s="185"/>
      <c r="O31" s="186"/>
      <c r="P31" s="227" t="str">
        <f>+IF(ISBLANK(N13),"",SLOPE(Q12:Q28,M12:M28))</f>
        <v/>
      </c>
      <c r="Q31" s="227"/>
      <c r="R31" s="227"/>
      <c r="S31" s="37"/>
      <c r="T31" s="184" t="s">
        <v>42</v>
      </c>
      <c r="U31" s="185"/>
      <c r="V31" s="185"/>
      <c r="W31" s="185"/>
      <c r="X31" s="186"/>
      <c r="Y31" s="227" t="str">
        <f>+IF(ISBLANK(W13),"",SLOPE(Z12:Z28,V12:V28))</f>
        <v/>
      </c>
      <c r="Z31" s="227"/>
      <c r="AA31" s="227"/>
    </row>
    <row r="32" spans="2:27" ht="23.25" customHeight="1">
      <c r="B32" s="213" t="s">
        <v>43</v>
      </c>
      <c r="C32" s="185"/>
      <c r="D32" s="185"/>
      <c r="E32" s="185"/>
      <c r="F32" s="186"/>
      <c r="G32" s="228" t="str">
        <f>+IF(ISBLANK(E12),"",G30*(MAX(D12:D28)^G31))</f>
        <v/>
      </c>
      <c r="H32" s="228"/>
      <c r="I32" s="228"/>
      <c r="J32" s="19"/>
      <c r="K32" s="184" t="s">
        <v>43</v>
      </c>
      <c r="L32" s="185"/>
      <c r="M32" s="185"/>
      <c r="N32" s="185"/>
      <c r="O32" s="186"/>
      <c r="P32" s="228" t="str">
        <f>+IF(ISBLANK(N12),"",P30*(MAX(M12:M28)^P31))</f>
        <v/>
      </c>
      <c r="Q32" s="228"/>
      <c r="R32" s="228"/>
      <c r="S32" s="37"/>
      <c r="T32" s="184" t="s">
        <v>43</v>
      </c>
      <c r="U32" s="185"/>
      <c r="V32" s="185"/>
      <c r="W32" s="185"/>
      <c r="X32" s="186"/>
      <c r="Y32" s="228" t="str">
        <f>+IF(ISBLANK(W12),"",Y30*(MAX(V12:V28)^Y31))</f>
        <v/>
      </c>
      <c r="Z32" s="228"/>
      <c r="AA32" s="228"/>
    </row>
    <row r="33" spans="2:27" ht="21" customHeight="1">
      <c r="B33" s="214" t="s">
        <v>53</v>
      </c>
      <c r="C33" s="188"/>
      <c r="D33" s="188"/>
      <c r="E33" s="188"/>
      <c r="F33" s="188"/>
      <c r="G33" s="228" t="str">
        <f>+IF(ISBLANK(E12),"",60*G30*(MAX(D12:D28)^(G31-1)))</f>
        <v/>
      </c>
      <c r="H33" s="228"/>
      <c r="I33" s="228"/>
      <c r="J33" s="19"/>
      <c r="K33" s="187" t="s">
        <v>53</v>
      </c>
      <c r="L33" s="188"/>
      <c r="M33" s="188"/>
      <c r="N33" s="188"/>
      <c r="O33" s="189"/>
      <c r="P33" s="228" t="str">
        <f>+IF(ISBLANK(N12),"",60*P30*(MAX(M12:M28)^(P31-1)))</f>
        <v/>
      </c>
      <c r="Q33" s="228"/>
      <c r="R33" s="228"/>
      <c r="S33" s="37"/>
      <c r="T33" s="187" t="s">
        <v>53</v>
      </c>
      <c r="U33" s="188"/>
      <c r="V33" s="188"/>
      <c r="W33" s="188"/>
      <c r="X33" s="189"/>
      <c r="Y33" s="228" t="str">
        <f>+IF(ISBLANK(W12),"",60*Y30*(MAX(V12:V28)^(Y31-1)))</f>
        <v/>
      </c>
      <c r="Z33" s="228"/>
      <c r="AA33" s="228"/>
    </row>
    <row r="34" spans="2:27" ht="24" customHeight="1">
      <c r="B34" s="178" t="s">
        <v>28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79"/>
      <c r="AA34" s="181"/>
    </row>
    <row r="35" spans="2:27" ht="15" customHeight="1"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183"/>
      <c r="N35" s="182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183"/>
      <c r="Z35" s="33"/>
      <c r="AA35" s="43"/>
    </row>
    <row r="36" spans="2:27" ht="15" customHeight="1"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30"/>
      <c r="AA36" s="44"/>
    </row>
    <row r="37" spans="2:27" ht="15" customHeight="1">
      <c r="B37" s="21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4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6"/>
      <c r="Z37" s="30"/>
      <c r="AA37" s="44"/>
    </row>
    <row r="38" spans="2:27" ht="14.5">
      <c r="B38" s="212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30"/>
      <c r="AA38" s="44"/>
    </row>
    <row r="39" spans="2:27" ht="15" customHeight="1">
      <c r="B39" s="25" t="s">
        <v>61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31"/>
      <c r="N39" s="165" t="s">
        <v>31</v>
      </c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7"/>
    </row>
    <row r="40" spans="2:27" ht="12.75" customHeight="1"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1"/>
      <c r="N40" s="168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70"/>
    </row>
    <row r="41" spans="2:27" ht="12" customHeight="1" thickBot="1"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32"/>
      <c r="N41" s="171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3"/>
    </row>
    <row r="42" spans="2:27"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2:27"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2:27"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2:27"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2:27">
      <c r="P46" s="24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2:27"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2:27"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6:27"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6:27"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6:27"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6:27"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6:27"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6:27"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6:27"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6:27"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6:27"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</sheetData>
  <mergeCells count="64">
    <mergeCell ref="B1:D4"/>
    <mergeCell ref="G33:I33"/>
    <mergeCell ref="B38:M38"/>
    <mergeCell ref="G31:I31"/>
    <mergeCell ref="B32:F32"/>
    <mergeCell ref="G32:I32"/>
    <mergeCell ref="B33:F33"/>
    <mergeCell ref="G30:I30"/>
    <mergeCell ref="B31:F31"/>
    <mergeCell ref="B35:M35"/>
    <mergeCell ref="B36:M36"/>
    <mergeCell ref="B37:M37"/>
    <mergeCell ref="B29:I29"/>
    <mergeCell ref="K8:R8"/>
    <mergeCell ref="O9:P9"/>
    <mergeCell ref="Q9:R9"/>
    <mergeCell ref="K33:O33"/>
    <mergeCell ref="P33:R33"/>
    <mergeCell ref="T31:X31"/>
    <mergeCell ref="O10:P10"/>
    <mergeCell ref="Q10:R10"/>
    <mergeCell ref="K31:O31"/>
    <mergeCell ref="P31:R31"/>
    <mergeCell ref="Y31:AA31"/>
    <mergeCell ref="K32:O32"/>
    <mergeCell ref="P32:R32"/>
    <mergeCell ref="X10:Y10"/>
    <mergeCell ref="Z10:AA10"/>
    <mergeCell ref="K30:O30"/>
    <mergeCell ref="T30:X30"/>
    <mergeCell ref="Y30:AA30"/>
    <mergeCell ref="P30:R30"/>
    <mergeCell ref="E1:V4"/>
    <mergeCell ref="N39:AA41"/>
    <mergeCell ref="W1:AA4"/>
    <mergeCell ref="N36:Y36"/>
    <mergeCell ref="N37:Y37"/>
    <mergeCell ref="N38:Y38"/>
    <mergeCell ref="B34:AA34"/>
    <mergeCell ref="N35:Y35"/>
    <mergeCell ref="T32:X32"/>
    <mergeCell ref="Y32:AA32"/>
    <mergeCell ref="T33:X33"/>
    <mergeCell ref="Y33:AA33"/>
    <mergeCell ref="B7:AA7"/>
    <mergeCell ref="T8:AA8"/>
    <mergeCell ref="X9:Y9"/>
    <mergeCell ref="Z9:AA9"/>
    <mergeCell ref="P5:Q5"/>
    <mergeCell ref="M6:S6"/>
    <mergeCell ref="R5:AA5"/>
    <mergeCell ref="I6:L6"/>
    <mergeCell ref="T6:AA6"/>
    <mergeCell ref="B30:F30"/>
    <mergeCell ref="N5:O5"/>
    <mergeCell ref="B5:D5"/>
    <mergeCell ref="B6:D6"/>
    <mergeCell ref="E5:L5"/>
    <mergeCell ref="J8:J28"/>
    <mergeCell ref="F9:G9"/>
    <mergeCell ref="F10:G10"/>
    <mergeCell ref="H9:I9"/>
    <mergeCell ref="H10:I10"/>
    <mergeCell ref="B8:I8"/>
  </mergeCells>
  <printOptions horizontalCentered="1" verticalCentered="1"/>
  <pageMargins left="0.15748031496063" right="0.15748031496063" top="0.15748031496063" bottom="0.15748031496063" header="0" footer="0"/>
  <pageSetup scale="44" orientation="landscape" horizontalDpi="300" verticalDpi="300" r:id="rId1"/>
  <headerFoot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1</vt:lpstr>
      <vt:lpstr>2</vt:lpstr>
      <vt:lpstr>'1'!Área_de_impresión</vt:lpstr>
      <vt:lpstr>'2'!Área_de_impresión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Raul Calderon</cp:lastModifiedBy>
  <cp:lastPrinted>2020-05-09T01:55:00Z</cp:lastPrinted>
  <dcterms:created xsi:type="dcterms:W3CDTF">2013-09-24T04:08:00Z</dcterms:created>
  <dcterms:modified xsi:type="dcterms:W3CDTF">2023-09-07T12:38:17Z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7B5687E16E91427892F61EDB864D75B4</vt:lpwstr>
  </property>
  <property fmtid="{D5CDD505-2E9C-101B-9397-08002B2CF9AE}" pid="3" name="KSOProductBuildVer">
    <vt:lpwstr>2058-11.2.0.11536</vt:lpwstr>
  </property>
</Properties>
</file>