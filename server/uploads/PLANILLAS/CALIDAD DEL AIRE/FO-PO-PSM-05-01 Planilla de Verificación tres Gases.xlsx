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hoana.mendoza\Downloads\formtos dt\OPERACIONES\"/>
    </mc:Choice>
  </mc:AlternateContent>
  <xr:revisionPtr revIDLastSave="0" documentId="13_ncr:1_{22991F9A-DBC1-4621-AD3F-6C742EFDBD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01" sheetId="5" r:id="rId1"/>
  </sheets>
  <definedNames>
    <definedName name="_xlnm.Print_Area" localSheetId="0">'001'!$A$1:$K$58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5" l="1"/>
  <c r="E29" i="5"/>
  <c r="E27" i="5"/>
  <c r="E18" i="5"/>
  <c r="E20" i="5"/>
  <c r="E32" i="5"/>
  <c r="E10" i="5"/>
  <c r="E16" i="5" s="1"/>
  <c r="E21" i="5" s="1"/>
  <c r="E17" i="5" l="1"/>
  <c r="E31" i="5"/>
  <c r="E38" i="5"/>
  <c r="E39" i="5"/>
  <c r="E40" i="5"/>
  <c r="E19" i="5"/>
  <c r="E28" i="5"/>
  <c r="E37" i="5"/>
  <c r="E42" i="5" s="1"/>
  <c r="E41" i="5"/>
</calcChain>
</file>

<file path=xl/sharedStrings.xml><?xml version="1.0" encoding="utf-8"?>
<sst xmlns="http://schemas.openxmlformats.org/spreadsheetml/2006/main" count="55" uniqueCount="34">
  <si>
    <t>ID Equipo:_____________________</t>
  </si>
  <si>
    <t>Volumen (ml)</t>
  </si>
  <si>
    <t>Promedio</t>
  </si>
  <si>
    <t>PLANILLA DE VERIFICACIÓN TRES GASES</t>
  </si>
  <si>
    <t>Hora: _____________</t>
  </si>
  <si>
    <t>Estación de Monitoreo: ____________________</t>
  </si>
  <si>
    <t>Nombre / Firma Ingeniero Responsable</t>
  </si>
  <si>
    <t>Nombre / Firma Aprobador</t>
  </si>
  <si>
    <t>Cumple</t>
  </si>
  <si>
    <t>Verificación tiempo residencia de muestra</t>
  </si>
  <si>
    <t>Tiempo (seg)</t>
  </si>
  <si>
    <t>Flujo (ml/min) CL</t>
  </si>
  <si>
    <t>Flujo (ml/min) CR</t>
  </si>
  <si>
    <t>P bar (mm Hg):</t>
  </si>
  <si>
    <t xml:space="preserve">Temp (°C): </t>
  </si>
  <si>
    <t xml:space="preserve">Temp (°K): </t>
  </si>
  <si>
    <t>Tcr (°K)=</t>
  </si>
  <si>
    <t>Pcr (mm Hg) =</t>
  </si>
  <si>
    <t>Lugar y Fecha:</t>
  </si>
  <si>
    <t>__________________</t>
  </si>
  <si>
    <t>Cliente:</t>
  </si>
  <si>
    <t>_________________________</t>
  </si>
  <si>
    <t>OT:</t>
  </si>
  <si>
    <r>
      <t xml:space="preserve">Nota: </t>
    </r>
    <r>
      <rPr>
        <sz val="10"/>
        <rFont val="Avenir Next LT Pro"/>
        <family val="2"/>
      </rPr>
      <t>Si el tiempo de residencia de muestra es mayor a 20 segundos el equipo no cumple la verificación.</t>
    </r>
  </si>
  <si>
    <r>
      <t xml:space="preserve">r= </t>
    </r>
    <r>
      <rPr>
        <sz val="10"/>
        <rFont val="Avenir Next LT Pro"/>
        <family val="2"/>
      </rPr>
      <t>Radio  de la manguera</t>
    </r>
  </si>
  <si>
    <r>
      <t xml:space="preserve">H= </t>
    </r>
    <r>
      <rPr>
        <sz val="11"/>
        <rFont val="Avenir Next LT Pro"/>
        <family val="2"/>
      </rPr>
      <t>Altura desde la entrada de la muestra hasta el tren de muestreo</t>
    </r>
  </si>
  <si>
    <r>
      <t xml:space="preserve">Nota: </t>
    </r>
    <r>
      <rPr>
        <sz val="11"/>
        <rFont val="Avenir Next LT Pro"/>
        <family val="2"/>
      </rPr>
      <t xml:space="preserve">Al realizar la verificación de flujo se debe ajustar el flujo medido a condiciones locales con respecto a las condiciones de refencia por medio de la siguiente ecuación: </t>
    </r>
  </si>
  <si>
    <r>
      <t xml:space="preserve">Qcr= </t>
    </r>
    <r>
      <rPr>
        <sz val="11"/>
        <rFont val="Avenir Next LT Pro"/>
        <family val="2"/>
      </rPr>
      <t>Flujo en condiciones de referencia</t>
    </r>
  </si>
  <si>
    <r>
      <t xml:space="preserve">Qcl= </t>
    </r>
    <r>
      <rPr>
        <sz val="11"/>
        <rFont val="Avenir Next LT Pro"/>
        <family val="2"/>
      </rPr>
      <t>Flujo en condiciones locales</t>
    </r>
  </si>
  <si>
    <r>
      <t xml:space="preserve">Tcl= </t>
    </r>
    <r>
      <rPr>
        <sz val="11"/>
        <rFont val="Avenir Next LT Pro"/>
        <family val="2"/>
      </rPr>
      <t>Temperatura en condiciones locales</t>
    </r>
  </si>
  <si>
    <r>
      <t xml:space="preserve">Tcr= </t>
    </r>
    <r>
      <rPr>
        <sz val="11"/>
        <rFont val="Avenir Next LT Pro"/>
        <family val="2"/>
      </rPr>
      <t>Temperatura en condiciones de referencia</t>
    </r>
    <r>
      <rPr>
        <b/>
        <sz val="11"/>
        <rFont val="Avenir Next LT Pro"/>
        <family val="2"/>
      </rPr>
      <t xml:space="preserve"> </t>
    </r>
  </si>
  <si>
    <r>
      <t xml:space="preserve">Pcr= </t>
    </r>
    <r>
      <rPr>
        <sz val="11"/>
        <rFont val="Avenir Next LT Pro"/>
        <family val="2"/>
      </rPr>
      <t>Presión en condiciones de referencia</t>
    </r>
    <r>
      <rPr>
        <b/>
        <sz val="11"/>
        <rFont val="Avenir Next LT Pro"/>
        <family val="2"/>
      </rPr>
      <t xml:space="preserve"> </t>
    </r>
  </si>
  <si>
    <r>
      <t xml:space="preserve">Pcl= </t>
    </r>
    <r>
      <rPr>
        <sz val="11"/>
        <rFont val="Avenir Next LT Pro"/>
        <family val="2"/>
      </rPr>
      <t>Presión en condiciones locales</t>
    </r>
  </si>
  <si>
    <t>Código: FO-PO-PSM-05-01
Versión: 09
Fecha: 26/08/2023
Página: 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</si>
</sst>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4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b/>
      <sz val="10"/>
      <name val="Avenir Next LT Pro"/>
      <family val="2"/>
    </font>
    <font>
      <sz val="10"/>
      <name val="Avenir Next LT Pro"/>
      <family val="2"/>
    </font>
    <font>
      <sz val="7"/>
      <name val="Avenir Next LT Pro"/>
      <family val="2"/>
    </font>
    <font>
      <b/>
      <sz val="11"/>
      <name val="Avenir Next LT Pro"/>
      <family val="2"/>
    </font>
    <font>
      <sz val="11"/>
      <name val="Avenir Next LT Pro"/>
      <family val="2"/>
    </font>
    <font>
      <sz val="14"/>
      <name val="Avenir Next LT Pro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Border="1"/>
    <xf numFmtId="0" fontId="4" fillId="0" borderId="0" xfId="0" applyFont="1"/>
    <xf numFmtId="0" fontId="5" fillId="0" borderId="0" xfId="0" applyFont="1" applyFill="1"/>
    <xf numFmtId="0" fontId="5" fillId="0" borderId="0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8" fillId="0" borderId="0" xfId="0" applyFont="1" applyFill="1"/>
    <xf numFmtId="0" fontId="9" fillId="0" borderId="18" xfId="0" applyFont="1" applyBorder="1"/>
    <xf numFmtId="0" fontId="8" fillId="0" borderId="10" xfId="0" applyFont="1" applyBorder="1"/>
    <xf numFmtId="0" fontId="9" fillId="0" borderId="8" xfId="0" applyFont="1" applyBorder="1"/>
    <xf numFmtId="0" fontId="8" fillId="0" borderId="0" xfId="0" applyFont="1" applyBorder="1" applyAlignment="1">
      <alignment horizontal="center" vertical="center"/>
    </xf>
    <xf numFmtId="0" fontId="9" fillId="0" borderId="0" xfId="0" applyFont="1" applyBorder="1"/>
    <xf numFmtId="0" fontId="8" fillId="0" borderId="4" xfId="0" applyFont="1" applyBorder="1"/>
    <xf numFmtId="0" fontId="9" fillId="0" borderId="6" xfId="0" applyFont="1" applyBorder="1"/>
    <xf numFmtId="0" fontId="8" fillId="0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/>
    <xf numFmtId="0" fontId="6" fillId="0" borderId="0" xfId="0" applyFont="1" applyBorder="1"/>
    <xf numFmtId="0" fontId="5" fillId="0" borderId="0" xfId="0" applyFont="1" applyBorder="1" applyAlignment="1">
      <alignment horizontal="left"/>
    </xf>
    <xf numFmtId="0" fontId="10" fillId="0" borderId="0" xfId="0" applyFont="1" applyBorder="1" applyAlignment="1"/>
    <xf numFmtId="0" fontId="6" fillId="0" borderId="10" xfId="0" applyFont="1" applyBorder="1" applyAlignment="1">
      <alignment vertical="center"/>
    </xf>
    <xf numFmtId="0" fontId="6" fillId="0" borderId="7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/>
    <xf numFmtId="0" fontId="5" fillId="0" borderId="0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10" fillId="0" borderId="0" xfId="0" applyFont="1"/>
    <xf numFmtId="0" fontId="5" fillId="0" borderId="0" xfId="0" applyFont="1" applyBorder="1" applyAlignment="1">
      <alignment vertical="top"/>
    </xf>
    <xf numFmtId="0" fontId="5" fillId="0" borderId="0" xfId="0" applyFont="1" applyBorder="1" applyAlignment="1">
      <alignment horizontal="left" vertical="top" wrapText="1"/>
    </xf>
    <xf numFmtId="0" fontId="9" fillId="0" borderId="0" xfId="0" applyFont="1" applyBorder="1" applyAlignment="1"/>
    <xf numFmtId="0" fontId="8" fillId="0" borderId="0" xfId="0" applyFont="1" applyBorder="1" applyAlignment="1"/>
    <xf numFmtId="0" fontId="8" fillId="0" borderId="0" xfId="0" applyFont="1" applyBorder="1" applyAlignment="1">
      <alignment vertical="top"/>
    </xf>
    <xf numFmtId="0" fontId="8" fillId="0" borderId="0" xfId="0" applyFont="1" applyFill="1" applyBorder="1" applyAlignment="1">
      <alignment vertical="center"/>
    </xf>
    <xf numFmtId="0" fontId="8" fillId="0" borderId="0" xfId="0" applyFont="1" applyBorder="1" applyAlignment="1">
      <alignment vertical="top" wrapText="1"/>
    </xf>
    <xf numFmtId="0" fontId="9" fillId="0" borderId="1" xfId="0" applyFont="1" applyBorder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15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left"/>
    </xf>
    <xf numFmtId="0" fontId="9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175985</xdr:colOff>
      <xdr:row>41</xdr:row>
      <xdr:rowOff>204107</xdr:rowOff>
    </xdr:from>
    <xdr:ext cx="2819400" cy="5623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15 CuadroTexto">
              <a:extLst>
                <a:ext uri="{FF2B5EF4-FFF2-40B4-BE49-F238E27FC236}">
                  <a16:creationId xmlns:a16="http://schemas.microsoft.com/office/drawing/2014/main" id="{13C372CB-23B7-48EE-A794-221B591706C3}"/>
                </a:ext>
              </a:extLst>
            </xdr:cNvPr>
            <xdr:cNvSpPr txBox="1"/>
          </xdr:nvSpPr>
          <xdr:spPr>
            <a:xfrm>
              <a:off x="5319485" y="8273143"/>
              <a:ext cx="2819400" cy="5623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CO" sz="1400" b="0" i="1">
                        <a:latin typeface="Cambria Math" panose="02040503050406030204" pitchFamily="18" charset="0"/>
                      </a:rPr>
                      <m:t>T</m:t>
                    </m:r>
                    <m:r>
                      <a:rPr lang="es-CO" sz="1400" b="0" i="1">
                        <a:latin typeface="Cambria Math" panose="02040503050406030204" pitchFamily="18" charset="0"/>
                      </a:rPr>
                      <m:t>𝑖𝑒𝑚𝑝𝑜</m:t>
                    </m:r>
                    <m:r>
                      <a:rPr lang="es-CO" sz="14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s-CO" sz="1400" b="0" i="1">
                        <a:latin typeface="Cambria Math" panose="02040503050406030204" pitchFamily="18" charset="0"/>
                      </a:rPr>
                      <m:t>𝑀𝑖𝑛</m:t>
                    </m:r>
                    <m:r>
                      <a:rPr lang="es-CO" sz="1400" b="0" i="1">
                        <a:latin typeface="Cambria Math" panose="02040503050406030204" pitchFamily="18" charset="0"/>
                      </a:rPr>
                      <m:t>)=</m:t>
                    </m:r>
                    <m:f>
                      <m:fPr>
                        <m:ctrlPr>
                          <a:rPr lang="es-CO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s-CO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d>
                          <m:dPr>
                            <m:ctrlPr>
                              <a:rPr lang="es-CO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s-CO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CO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𝑟</m:t>
                                </m:r>
                                <m:r>
                                  <a:rPr lang="es-CO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)</m:t>
                                </m:r>
                              </m:e>
                              <m:sup>
                                <m:r>
                                  <a:rPr lang="es-CO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  <m:r>
                          <a:rPr lang="es-CO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𝐻</m:t>
                        </m:r>
                      </m:num>
                      <m:den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𝐹𝑙𝑢𝑗𝑜</m:t>
                        </m:r>
                      </m:den>
                    </m:f>
                    <m:r>
                      <a:rPr lang="es-CO" sz="1400" b="0" i="0">
                        <a:latin typeface="Cambria Math"/>
                      </a:rPr>
                      <m:t> </m:t>
                    </m:r>
                  </m:oMath>
                </m:oMathPara>
              </a14:m>
              <a:endParaRPr lang="es-CO" sz="1400" i="0"/>
            </a:p>
          </xdr:txBody>
        </xdr:sp>
      </mc:Choice>
      <mc:Fallback xmlns="">
        <xdr:sp macro="" textlink="">
          <xdr:nvSpPr>
            <xdr:cNvPr id="4" name="15 CuadroTexto">
              <a:extLst>
                <a:ext uri="{FF2B5EF4-FFF2-40B4-BE49-F238E27FC236}">
                  <a16:creationId xmlns:a16="http://schemas.microsoft.com/office/drawing/2014/main" id="{13C372CB-23B7-48EE-A794-221B591706C3}"/>
                </a:ext>
              </a:extLst>
            </xdr:cNvPr>
            <xdr:cNvSpPr txBox="1"/>
          </xdr:nvSpPr>
          <xdr:spPr>
            <a:xfrm>
              <a:off x="5319485" y="8273143"/>
              <a:ext cx="2819400" cy="5623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T𝑖𝑒𝑚𝑝𝑜 (𝑀𝑖𝑛)=</a:t>
              </a:r>
              <a:r>
                <a:rPr lang="es-CO" sz="1400" i="0">
                  <a:latin typeface="Cambria Math" panose="02040503050406030204" pitchFamily="18" charset="0"/>
                </a:rPr>
                <a:t>(</a:t>
              </a:r>
              <a:r>
                <a:rPr lang="es-CO" sz="1400" b="0" i="0">
                  <a:latin typeface="Cambria Math" panose="02040503050406030204" pitchFamily="18" charset="0"/>
                </a:rPr>
                <a:t>(</a:t>
              </a:r>
              <a:r>
                <a:rPr lang="es-CO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</a:t>
              </a:r>
              <a:r>
                <a:rPr lang="es-CO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𝑥 (〖𝑟)〗^2 )  𝑥 𝐻)/</a:t>
              </a:r>
              <a:r>
                <a:rPr lang="es-CO" sz="1400" b="0" i="0">
                  <a:latin typeface="Cambria Math" panose="02040503050406030204" pitchFamily="18" charset="0"/>
                </a:rPr>
                <a:t>𝐹𝑙𝑢𝑗𝑜</a:t>
              </a:r>
              <a:r>
                <a:rPr lang="es-CO" sz="1400" b="0" i="0">
                  <a:latin typeface="Cambria Math"/>
                </a:rPr>
                <a:t>  </a:t>
              </a:r>
              <a:endParaRPr lang="es-CO" sz="1400" i="0"/>
            </a:p>
          </xdr:txBody>
        </xdr:sp>
      </mc:Fallback>
    </mc:AlternateContent>
    <xdr:clientData/>
  </xdr:oneCellAnchor>
  <xdr:oneCellAnchor>
    <xdr:from>
      <xdr:col>7</xdr:col>
      <xdr:colOff>516466</xdr:colOff>
      <xdr:row>46</xdr:row>
      <xdr:rowOff>222553</xdr:rowOff>
    </xdr:from>
    <xdr:ext cx="1929492" cy="5500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15 CuadroTexto">
              <a:extLst>
                <a:ext uri="{FF2B5EF4-FFF2-40B4-BE49-F238E27FC236}">
                  <a16:creationId xmlns:a16="http://schemas.microsoft.com/office/drawing/2014/main" id="{0D00E1C7-6ED5-484D-BD8F-AB0523F98350}"/>
                </a:ext>
              </a:extLst>
            </xdr:cNvPr>
            <xdr:cNvSpPr txBox="1"/>
          </xdr:nvSpPr>
          <xdr:spPr>
            <a:xfrm>
              <a:off x="6053666" y="9798353"/>
              <a:ext cx="1929492" cy="5500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𝐶𝑅</m:t>
                        </m:r>
                      </m:sub>
                    </m:sSub>
                    <m:r>
                      <a:rPr lang="es-CO" sz="14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𝐶𝐿</m:t>
                        </m:r>
                      </m:sub>
                    </m:sSub>
                    <m:f>
                      <m:fPr>
                        <m:ctrlPr>
                          <a:rPr lang="es-CO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s-CO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4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s-CO" sz="1400" b="0" i="1">
                                <a:latin typeface="Cambria Math" panose="02040503050406030204" pitchFamily="18" charset="0"/>
                              </a:rPr>
                              <m:t>𝐶𝐿</m:t>
                            </m:r>
                          </m:sub>
                        </m:sSub>
                        <m:r>
                          <a:rPr lang="es-CO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s-CO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s-CO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𝐶𝑅</m:t>
                            </m:r>
                          </m:sub>
                        </m:sSub>
                        <m:r>
                          <a:rPr lang="es-CO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s-CO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s-CO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s-CO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𝐶𝑅</m:t>
                            </m:r>
                          </m:sub>
                        </m:sSub>
                        <m:r>
                          <a:rPr lang="es-CO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  <m:r>
                          <a:rPr lang="es-CO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s-CO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s-CO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𝐶𝐿</m:t>
                            </m:r>
                          </m:sub>
                        </m:sSub>
                        <m:r>
                          <a:rPr lang="es-CO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  <m:r>
                      <a:rPr lang="es-CO" sz="1400" b="0" i="0">
                        <a:latin typeface="Cambria Math"/>
                      </a:rPr>
                      <m:t> </m:t>
                    </m:r>
                  </m:oMath>
                </m:oMathPara>
              </a14:m>
              <a:endParaRPr lang="es-CO" sz="1400" i="0"/>
            </a:p>
          </xdr:txBody>
        </xdr:sp>
      </mc:Choice>
      <mc:Fallback xmlns="">
        <xdr:sp macro="" textlink="">
          <xdr:nvSpPr>
            <xdr:cNvPr id="5" name="15 CuadroTexto">
              <a:extLst>
                <a:ext uri="{FF2B5EF4-FFF2-40B4-BE49-F238E27FC236}">
                  <a16:creationId xmlns:a16="http://schemas.microsoft.com/office/drawing/2014/main" id="{0D00E1C7-6ED5-484D-BD8F-AB0523F98350}"/>
                </a:ext>
              </a:extLst>
            </xdr:cNvPr>
            <xdr:cNvSpPr txBox="1"/>
          </xdr:nvSpPr>
          <xdr:spPr>
            <a:xfrm>
              <a:off x="6053666" y="9798353"/>
              <a:ext cx="1929492" cy="5500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𝑄_𝐶𝑅=𝑄_𝐶𝐿  ((𝑇_𝐶𝐿</a:t>
              </a:r>
              <a:r>
                <a:rPr lang="es-CO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 𝑥 𝑃_𝐶𝑅))/((𝑇_𝐶𝑅  𝑥 𝑃_𝐶𝐿))</a:t>
              </a:r>
              <a:r>
                <a:rPr lang="es-CO" sz="1400" b="0" i="0">
                  <a:latin typeface="Cambria Math"/>
                  <a:ea typeface="Cambria Math" panose="02040503050406030204" pitchFamily="18" charset="0"/>
                </a:rPr>
                <a:t> </a:t>
              </a:r>
              <a:r>
                <a:rPr lang="es-CO" sz="1400" b="0" i="0">
                  <a:latin typeface="Cambria Math"/>
                </a:rPr>
                <a:t> </a:t>
              </a:r>
              <a:endParaRPr lang="es-CO" sz="1400" i="0"/>
            </a:p>
          </xdr:txBody>
        </xdr:sp>
      </mc:Fallback>
    </mc:AlternateContent>
    <xdr:clientData/>
  </xdr:oneCellAnchor>
  <xdr:twoCellAnchor editAs="oneCell">
    <xdr:from>
      <xdr:col>0</xdr:col>
      <xdr:colOff>637561</xdr:colOff>
      <xdr:row>0</xdr:row>
      <xdr:rowOff>46088</xdr:rowOff>
    </xdr:from>
    <xdr:to>
      <xdr:col>1</xdr:col>
      <xdr:colOff>713603</xdr:colOff>
      <xdr:row>4</xdr:row>
      <xdr:rowOff>138771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C9620F4-4FF6-4102-FBF1-722534403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561" y="46088"/>
          <a:ext cx="775054" cy="737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"/>
  <sheetViews>
    <sheetView showGridLines="0" tabSelected="1" view="pageBreakPreview" zoomScale="124" zoomScaleNormal="75" zoomScaleSheetLayoutView="124" workbookViewId="0">
      <selection activeCell="G13" sqref="G13"/>
    </sheetView>
  </sheetViews>
  <sheetFormatPr baseColWidth="10" defaultColWidth="12.7109375" defaultRowHeight="18" x14ac:dyDescent="0.25"/>
  <cols>
    <col min="1" max="1" width="10.42578125" style="1" customWidth="1"/>
    <col min="2" max="2" width="12.140625" style="1" customWidth="1"/>
    <col min="3" max="3" width="13" style="1" customWidth="1"/>
    <col min="4" max="4" width="17.140625" style="1" customWidth="1"/>
    <col min="5" max="5" width="11" style="1" customWidth="1"/>
    <col min="6" max="6" width="7.140625" style="1" customWidth="1"/>
    <col min="7" max="7" width="12" style="1" customWidth="1"/>
    <col min="8" max="8" width="10.5703125" style="1" customWidth="1"/>
    <col min="9" max="9" width="8.5703125" style="1" customWidth="1"/>
    <col min="10" max="10" width="18.7109375" style="1" customWidth="1"/>
    <col min="11" max="11" width="6.28515625" style="1" customWidth="1"/>
    <col min="12" max="12" width="14.85546875" style="1" customWidth="1"/>
    <col min="13" max="13" width="18" style="1" customWidth="1"/>
    <col min="14" max="14" width="8.7109375" style="1" customWidth="1"/>
    <col min="15" max="16" width="6.7109375" style="1" customWidth="1"/>
    <col min="17" max="20" width="8.7109375" style="1" customWidth="1"/>
    <col min="21" max="21" width="10.7109375" style="1" customWidth="1"/>
    <col min="22" max="16384" width="12.7109375" style="1"/>
  </cols>
  <sheetData>
    <row r="1" spans="1:17" ht="12.75" customHeight="1" x14ac:dyDescent="0.25">
      <c r="A1" s="61"/>
      <c r="B1" s="61"/>
      <c r="C1" s="61"/>
      <c r="D1" s="58" t="s">
        <v>3</v>
      </c>
      <c r="E1" s="58"/>
      <c r="F1" s="58"/>
      <c r="G1" s="58"/>
      <c r="H1" s="62" t="s">
        <v>33</v>
      </c>
      <c r="I1" s="63"/>
      <c r="J1" s="63"/>
      <c r="K1" s="63"/>
    </row>
    <row r="2" spans="1:17" ht="12.75" customHeight="1" x14ac:dyDescent="0.25">
      <c r="A2" s="61"/>
      <c r="B2" s="61"/>
      <c r="C2" s="61"/>
      <c r="D2" s="58"/>
      <c r="E2" s="58"/>
      <c r="F2" s="58"/>
      <c r="G2" s="58"/>
      <c r="H2" s="63"/>
      <c r="I2" s="63"/>
      <c r="J2" s="63"/>
      <c r="K2" s="63"/>
    </row>
    <row r="3" spans="1:17" ht="12.75" customHeight="1" x14ac:dyDescent="0.25">
      <c r="A3" s="61"/>
      <c r="B3" s="61"/>
      <c r="C3" s="61"/>
      <c r="D3" s="58"/>
      <c r="E3" s="58"/>
      <c r="F3" s="58"/>
      <c r="G3" s="58"/>
      <c r="H3" s="63"/>
      <c r="I3" s="63"/>
      <c r="J3" s="63"/>
      <c r="K3" s="63"/>
    </row>
    <row r="4" spans="1:17" ht="12.75" customHeight="1" x14ac:dyDescent="0.25">
      <c r="A4" s="61"/>
      <c r="B4" s="61"/>
      <c r="C4" s="61"/>
      <c r="D4" s="58"/>
      <c r="E4" s="58"/>
      <c r="F4" s="58"/>
      <c r="G4" s="58"/>
      <c r="H4" s="63"/>
      <c r="I4" s="63"/>
      <c r="J4" s="63"/>
      <c r="K4" s="63"/>
    </row>
    <row r="5" spans="1:17" ht="12.75" customHeight="1" x14ac:dyDescent="0.25">
      <c r="A5" s="61"/>
      <c r="B5" s="61"/>
      <c r="C5" s="61"/>
      <c r="D5" s="58"/>
      <c r="E5" s="58"/>
      <c r="F5" s="58"/>
      <c r="G5" s="58"/>
      <c r="H5" s="63"/>
      <c r="I5" s="63"/>
      <c r="J5" s="63"/>
      <c r="K5" s="63"/>
    </row>
    <row r="6" spans="1:17" ht="7.5" customHeight="1" x14ac:dyDescent="0.25"/>
    <row r="7" spans="1:17" s="2" customFormat="1" x14ac:dyDescent="0.25">
      <c r="A7" s="44" t="s">
        <v>18</v>
      </c>
      <c r="B7" s="44"/>
      <c r="C7" s="43" t="s">
        <v>19</v>
      </c>
      <c r="D7" s="43"/>
      <c r="E7" s="7" t="s">
        <v>20</v>
      </c>
      <c r="F7" s="43" t="s">
        <v>21</v>
      </c>
      <c r="G7" s="43"/>
      <c r="H7" s="43"/>
      <c r="I7" s="43"/>
      <c r="J7" s="66" t="s">
        <v>22</v>
      </c>
      <c r="K7" s="66"/>
      <c r="L7" s="1"/>
      <c r="M7" s="1"/>
      <c r="N7" s="1"/>
      <c r="O7" s="1"/>
      <c r="P7" s="1"/>
      <c r="Q7" s="1"/>
    </row>
    <row r="8" spans="1:17" s="2" customFormat="1" ht="18.75" thickBot="1" x14ac:dyDescent="0.3">
      <c r="A8" s="7"/>
      <c r="B8" s="8"/>
      <c r="C8" s="8"/>
      <c r="D8" s="7"/>
      <c r="E8" s="8"/>
      <c r="F8" s="8"/>
      <c r="G8" s="9"/>
      <c r="H8" s="8"/>
      <c r="I8" s="8"/>
      <c r="J8" s="8"/>
      <c r="K8" s="8"/>
      <c r="L8" s="1"/>
      <c r="M8" s="1"/>
      <c r="N8" s="1"/>
      <c r="O8" s="1"/>
      <c r="P8" s="1"/>
      <c r="Q8" s="1"/>
    </row>
    <row r="9" spans="1:17" s="2" customFormat="1" ht="18.75" thickBot="1" x14ac:dyDescent="0.3">
      <c r="A9" s="59" t="s">
        <v>13</v>
      </c>
      <c r="B9" s="60"/>
      <c r="C9" s="10"/>
      <c r="D9" s="11" t="s">
        <v>14</v>
      </c>
      <c r="E9" s="12"/>
      <c r="F9" s="8"/>
      <c r="G9" s="8"/>
      <c r="H9" s="8"/>
      <c r="I9" s="9" t="s">
        <v>4</v>
      </c>
      <c r="J9" s="9"/>
      <c r="K9" s="8"/>
      <c r="L9" s="1"/>
      <c r="M9" s="1"/>
      <c r="N9" s="1"/>
      <c r="O9" s="1"/>
      <c r="P9" s="1"/>
      <c r="Q9" s="1"/>
    </row>
    <row r="10" spans="1:17" s="2" customFormat="1" ht="18.75" thickBot="1" x14ac:dyDescent="0.3">
      <c r="A10" s="13"/>
      <c r="B10" s="13"/>
      <c r="C10" s="14"/>
      <c r="D10" s="15" t="s">
        <v>15</v>
      </c>
      <c r="E10" s="16">
        <f>+E9+273.15</f>
        <v>273.14999999999998</v>
      </c>
      <c r="F10" s="8"/>
      <c r="G10" s="8"/>
      <c r="H10" s="8"/>
      <c r="I10" s="9"/>
      <c r="J10" s="9"/>
      <c r="K10" s="8"/>
      <c r="L10" s="1"/>
      <c r="M10" s="1"/>
      <c r="N10" s="1"/>
      <c r="O10" s="1"/>
      <c r="P10" s="1"/>
      <c r="Q10" s="1"/>
    </row>
    <row r="11" spans="1:17" s="2" customFormat="1" ht="10.5" customHeight="1" x14ac:dyDescent="0.25">
      <c r="A11" s="6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1"/>
      <c r="M11" s="1"/>
      <c r="N11" s="1"/>
      <c r="O11" s="1"/>
      <c r="P11" s="1"/>
      <c r="Q11" s="1"/>
    </row>
    <row r="12" spans="1:17" ht="9.75" customHeight="1" x14ac:dyDescent="0.25">
      <c r="A12" s="65"/>
      <c r="B12" s="65"/>
      <c r="C12" s="65"/>
      <c r="D12" s="17"/>
      <c r="E12" s="17"/>
      <c r="F12" s="65"/>
      <c r="G12" s="65"/>
      <c r="H12" s="65"/>
      <c r="I12" s="17"/>
      <c r="J12" s="17"/>
      <c r="K12" s="17"/>
    </row>
    <row r="13" spans="1:17" ht="12.75" customHeight="1" x14ac:dyDescent="0.25">
      <c r="A13" s="18"/>
      <c r="B13" s="5" t="s">
        <v>0</v>
      </c>
      <c r="C13" s="19"/>
      <c r="D13" s="20"/>
      <c r="E13" s="21" t="s">
        <v>5</v>
      </c>
      <c r="F13" s="18"/>
      <c r="G13" s="19"/>
      <c r="H13" s="19"/>
      <c r="I13" s="5" t="s">
        <v>4</v>
      </c>
      <c r="J13" s="5"/>
      <c r="K13" s="19"/>
    </row>
    <row r="14" spans="1:17" ht="12.75" customHeight="1" thickBot="1" x14ac:dyDescent="0.3">
      <c r="A14" s="18"/>
      <c r="B14" s="64"/>
      <c r="C14" s="64"/>
      <c r="D14" s="20"/>
      <c r="E14" s="20"/>
      <c r="F14" s="18"/>
      <c r="G14" s="64"/>
      <c r="H14" s="64"/>
      <c r="I14" s="19"/>
      <c r="J14" s="19"/>
      <c r="K14" s="19"/>
    </row>
    <row r="15" spans="1:17" ht="18.75" x14ac:dyDescent="0.3">
      <c r="A15" s="18"/>
      <c r="B15" s="22"/>
      <c r="C15" s="23" t="s">
        <v>1</v>
      </c>
      <c r="D15" s="24" t="s">
        <v>11</v>
      </c>
      <c r="E15" s="51" t="s">
        <v>12</v>
      </c>
      <c r="F15" s="52"/>
      <c r="G15" s="25"/>
      <c r="H15" s="54" t="s">
        <v>9</v>
      </c>
      <c r="I15" s="55"/>
      <c r="J15" s="56"/>
      <c r="K15" s="25"/>
    </row>
    <row r="16" spans="1:17" ht="18.75" x14ac:dyDescent="0.3">
      <c r="A16" s="18"/>
      <c r="B16" s="22"/>
      <c r="C16" s="26"/>
      <c r="D16" s="27"/>
      <c r="E16" s="49" t="e">
        <f>+(D16*(($E$10*$J$52)/($J$51*$C$9)))</f>
        <v>#DIV/0!</v>
      </c>
      <c r="F16" s="50"/>
      <c r="G16" s="25"/>
      <c r="H16" s="45" t="s">
        <v>10</v>
      </c>
      <c r="I16" s="46"/>
      <c r="J16" s="28" t="s">
        <v>8</v>
      </c>
      <c r="K16" s="19"/>
    </row>
    <row r="17" spans="1:17" ht="19.5" thickBot="1" x14ac:dyDescent="0.35">
      <c r="A17" s="18"/>
      <c r="B17" s="22"/>
      <c r="C17" s="26"/>
      <c r="D17" s="27"/>
      <c r="E17" s="49" t="e">
        <f t="shared" ref="E17:E20" si="0">+(D17*(($E$10*$J$52)/($J$51*$C$9)))</f>
        <v>#DIV/0!</v>
      </c>
      <c r="F17" s="50"/>
      <c r="G17" s="25"/>
      <c r="H17" s="47"/>
      <c r="I17" s="48"/>
      <c r="J17" s="29"/>
      <c r="K17" s="19"/>
    </row>
    <row r="18" spans="1:17" ht="18.75" x14ac:dyDescent="0.3">
      <c r="A18" s="18"/>
      <c r="B18" s="22"/>
      <c r="C18" s="26"/>
      <c r="D18" s="27"/>
      <c r="E18" s="49" t="e">
        <f t="shared" si="0"/>
        <v>#DIV/0!</v>
      </c>
      <c r="F18" s="50"/>
      <c r="G18" s="25"/>
      <c r="H18" s="57"/>
      <c r="I18" s="57"/>
      <c r="J18" s="19"/>
      <c r="K18" s="19"/>
    </row>
    <row r="19" spans="1:17" ht="18.75" x14ac:dyDescent="0.3">
      <c r="A19" s="18"/>
      <c r="B19" s="22"/>
      <c r="C19" s="26"/>
      <c r="D19" s="27"/>
      <c r="E19" s="49" t="e">
        <f t="shared" si="0"/>
        <v>#DIV/0!</v>
      </c>
      <c r="F19" s="50"/>
      <c r="G19" s="25"/>
      <c r="H19" s="57"/>
      <c r="I19" s="57"/>
      <c r="J19" s="19"/>
      <c r="K19" s="19"/>
    </row>
    <row r="20" spans="1:17" ht="18.75" x14ac:dyDescent="0.3">
      <c r="A20" s="18"/>
      <c r="B20" s="22"/>
      <c r="C20" s="26"/>
      <c r="D20" s="27"/>
      <c r="E20" s="49" t="e">
        <f t="shared" si="0"/>
        <v>#DIV/0!</v>
      </c>
      <c r="F20" s="50"/>
      <c r="G20" s="25"/>
      <c r="H20" s="57"/>
      <c r="I20" s="57"/>
      <c r="J20" s="19"/>
      <c r="K20" s="19"/>
    </row>
    <row r="21" spans="1:17" s="2" customFormat="1" ht="18.75" thickBot="1" x14ac:dyDescent="0.3">
      <c r="A21" s="30"/>
      <c r="B21" s="30" t="s">
        <v>2</v>
      </c>
      <c r="C21" s="31"/>
      <c r="D21" s="32"/>
      <c r="E21" s="48" t="e">
        <f>+AVERAGE(E16:F20)</f>
        <v>#DIV/0!</v>
      </c>
      <c r="F21" s="53"/>
      <c r="G21" s="25"/>
      <c r="H21" s="25"/>
      <c r="I21" s="30"/>
      <c r="J21" s="30"/>
      <c r="K21" s="30"/>
      <c r="L21" s="1"/>
      <c r="M21" s="1"/>
      <c r="N21" s="1"/>
      <c r="O21" s="1"/>
      <c r="P21" s="1"/>
      <c r="Q21" s="1"/>
    </row>
    <row r="22" spans="1:17" ht="13.5" customHeight="1" x14ac:dyDescent="0.25">
      <c r="A22" s="30"/>
      <c r="B22" s="30"/>
      <c r="C22" s="30"/>
      <c r="D22" s="6"/>
      <c r="E22" s="6"/>
      <c r="F22" s="30"/>
      <c r="G22" s="30"/>
      <c r="H22" s="30"/>
      <c r="I22" s="6"/>
      <c r="J22" s="6"/>
      <c r="K22" s="6"/>
    </row>
    <row r="23" spans="1:17" ht="13.5" customHeight="1" x14ac:dyDescent="0.25">
      <c r="A23" s="18"/>
      <c r="B23" s="19"/>
      <c r="C23" s="19"/>
      <c r="D23" s="20"/>
      <c r="E23" s="20"/>
      <c r="F23" s="18"/>
      <c r="G23" s="19"/>
      <c r="H23" s="19"/>
      <c r="I23" s="19"/>
      <c r="J23" s="19"/>
      <c r="K23" s="19"/>
    </row>
    <row r="24" spans="1:17" ht="12.75" customHeight="1" x14ac:dyDescent="0.25">
      <c r="A24" s="18"/>
      <c r="B24" s="5" t="s">
        <v>0</v>
      </c>
      <c r="C24" s="19"/>
      <c r="D24" s="20"/>
      <c r="E24" s="21" t="s">
        <v>5</v>
      </c>
      <c r="F24" s="18"/>
      <c r="G24" s="19"/>
      <c r="H24" s="19"/>
      <c r="I24" s="5" t="s">
        <v>4</v>
      </c>
      <c r="J24" s="5"/>
      <c r="K24" s="19"/>
    </row>
    <row r="25" spans="1:17" ht="12.75" customHeight="1" thickBot="1" x14ac:dyDescent="0.3">
      <c r="A25" s="18"/>
      <c r="B25" s="5"/>
      <c r="C25" s="19"/>
      <c r="D25" s="20"/>
      <c r="E25" s="21"/>
      <c r="F25" s="18"/>
      <c r="G25" s="19"/>
      <c r="H25" s="19"/>
      <c r="I25" s="5"/>
      <c r="J25" s="5"/>
      <c r="K25" s="19"/>
    </row>
    <row r="26" spans="1:17" ht="18.75" x14ac:dyDescent="0.3">
      <c r="A26" s="18"/>
      <c r="B26" s="22"/>
      <c r="C26" s="23" t="s">
        <v>1</v>
      </c>
      <c r="D26" s="24" t="s">
        <v>11</v>
      </c>
      <c r="E26" s="51" t="s">
        <v>12</v>
      </c>
      <c r="F26" s="52"/>
      <c r="G26" s="25"/>
      <c r="H26" s="54" t="s">
        <v>9</v>
      </c>
      <c r="I26" s="55"/>
      <c r="J26" s="56"/>
      <c r="K26" s="25"/>
    </row>
    <row r="27" spans="1:17" ht="18.75" x14ac:dyDescent="0.3">
      <c r="A27" s="18"/>
      <c r="B27" s="22"/>
      <c r="C27" s="26"/>
      <c r="D27" s="27"/>
      <c r="E27" s="49" t="e">
        <f>+(D27*(($E$10*$J$52)/($J$51*$C$9)))</f>
        <v>#DIV/0!</v>
      </c>
      <c r="F27" s="50"/>
      <c r="G27" s="25"/>
      <c r="H27" s="45" t="s">
        <v>10</v>
      </c>
      <c r="I27" s="46"/>
      <c r="J27" s="28" t="s">
        <v>8</v>
      </c>
      <c r="K27" s="19"/>
    </row>
    <row r="28" spans="1:17" ht="19.5" thickBot="1" x14ac:dyDescent="0.35">
      <c r="A28" s="18"/>
      <c r="B28" s="22"/>
      <c r="C28" s="26"/>
      <c r="D28" s="27"/>
      <c r="E28" s="49" t="e">
        <f t="shared" ref="E28:E31" si="1">+(D28*(($E$10*$J$52)/($J$51*$C$9)))</f>
        <v>#DIV/0!</v>
      </c>
      <c r="F28" s="50"/>
      <c r="G28" s="25"/>
      <c r="H28" s="47"/>
      <c r="I28" s="48"/>
      <c r="J28" s="29"/>
      <c r="K28" s="19"/>
    </row>
    <row r="29" spans="1:17" ht="18.75" x14ac:dyDescent="0.3">
      <c r="A29" s="18"/>
      <c r="B29" s="22"/>
      <c r="C29" s="26"/>
      <c r="D29" s="27"/>
      <c r="E29" s="49" t="e">
        <f t="shared" si="1"/>
        <v>#DIV/0!</v>
      </c>
      <c r="F29" s="50"/>
      <c r="G29" s="25"/>
      <c r="H29" s="57"/>
      <c r="I29" s="57"/>
      <c r="J29" s="19"/>
      <c r="K29" s="19"/>
    </row>
    <row r="30" spans="1:17" ht="18.75" x14ac:dyDescent="0.3">
      <c r="A30" s="18"/>
      <c r="B30" s="22"/>
      <c r="C30" s="26"/>
      <c r="D30" s="27"/>
      <c r="E30" s="49" t="e">
        <f t="shared" si="1"/>
        <v>#DIV/0!</v>
      </c>
      <c r="F30" s="50"/>
      <c r="G30" s="25"/>
      <c r="H30" s="57"/>
      <c r="I30" s="57"/>
      <c r="J30" s="19"/>
      <c r="K30" s="19"/>
    </row>
    <row r="31" spans="1:17" ht="18.75" x14ac:dyDescent="0.3">
      <c r="A31" s="18"/>
      <c r="B31" s="22"/>
      <c r="C31" s="26"/>
      <c r="D31" s="27"/>
      <c r="E31" s="49" t="e">
        <f t="shared" si="1"/>
        <v>#DIV/0!</v>
      </c>
      <c r="F31" s="50"/>
      <c r="G31" s="25"/>
      <c r="H31" s="57"/>
      <c r="I31" s="57"/>
      <c r="J31" s="19"/>
      <c r="K31" s="19"/>
    </row>
    <row r="32" spans="1:17" s="2" customFormat="1" ht="18.75" thickBot="1" x14ac:dyDescent="0.3">
      <c r="A32" s="30"/>
      <c r="B32" s="30" t="s">
        <v>2</v>
      </c>
      <c r="C32" s="31"/>
      <c r="D32" s="32"/>
      <c r="E32" s="48" t="e">
        <f>+AVERAGE(E27:F31)</f>
        <v>#DIV/0!</v>
      </c>
      <c r="F32" s="53"/>
      <c r="G32" s="25"/>
      <c r="H32" s="25"/>
      <c r="I32" s="30"/>
      <c r="J32" s="30"/>
      <c r="K32" s="30"/>
      <c r="L32" s="1"/>
      <c r="M32" s="1"/>
      <c r="N32" s="1"/>
      <c r="O32" s="1"/>
      <c r="P32" s="1"/>
      <c r="Q32" s="1"/>
    </row>
    <row r="33" spans="1:17" ht="12.75" customHeight="1" x14ac:dyDescent="0.25">
      <c r="A33" s="18"/>
      <c r="B33" s="64"/>
      <c r="C33" s="64"/>
      <c r="D33" s="20"/>
      <c r="E33" s="20"/>
      <c r="F33" s="18"/>
      <c r="G33" s="64"/>
      <c r="H33" s="64"/>
      <c r="I33" s="19"/>
      <c r="J33" s="19"/>
      <c r="K33" s="19"/>
    </row>
    <row r="34" spans="1:17" s="2" customFormat="1" x14ac:dyDescent="0.25">
      <c r="A34" s="69"/>
      <c r="B34" s="5" t="s">
        <v>0</v>
      </c>
      <c r="C34" s="19"/>
      <c r="D34" s="20"/>
      <c r="E34" s="21" t="s">
        <v>5</v>
      </c>
      <c r="F34" s="18"/>
      <c r="G34" s="19"/>
      <c r="H34" s="19"/>
      <c r="I34" s="5" t="s">
        <v>4</v>
      </c>
      <c r="J34" s="5"/>
      <c r="K34" s="30"/>
      <c r="L34" s="1"/>
      <c r="M34" s="1"/>
      <c r="N34" s="1"/>
      <c r="O34" s="1"/>
      <c r="P34" s="1"/>
      <c r="Q34" s="1"/>
    </row>
    <row r="35" spans="1:17" ht="18.75" thickBot="1" x14ac:dyDescent="0.3">
      <c r="A35" s="69"/>
      <c r="B35" s="5"/>
      <c r="C35" s="19"/>
      <c r="D35" s="20"/>
      <c r="E35" s="21"/>
      <c r="F35" s="18"/>
      <c r="G35" s="19"/>
      <c r="H35" s="19"/>
      <c r="I35" s="5"/>
      <c r="J35" s="5"/>
      <c r="K35" s="6"/>
    </row>
    <row r="36" spans="1:17" ht="12.75" customHeight="1" x14ac:dyDescent="0.3">
      <c r="A36" s="18"/>
      <c r="B36" s="22"/>
      <c r="C36" s="23" t="s">
        <v>1</v>
      </c>
      <c r="D36" s="24" t="s">
        <v>11</v>
      </c>
      <c r="E36" s="51" t="s">
        <v>12</v>
      </c>
      <c r="F36" s="52"/>
      <c r="G36" s="25"/>
      <c r="H36" s="54" t="s">
        <v>9</v>
      </c>
      <c r="I36" s="55"/>
      <c r="J36" s="56"/>
      <c r="K36" s="19"/>
    </row>
    <row r="37" spans="1:17" ht="12.75" customHeight="1" x14ac:dyDescent="0.3">
      <c r="A37" s="18"/>
      <c r="B37" s="22"/>
      <c r="C37" s="26"/>
      <c r="D37" s="27"/>
      <c r="E37" s="49" t="e">
        <f>+(D37*(($E$10*$J$52)/($J$51*$C$9)))</f>
        <v>#DIV/0!</v>
      </c>
      <c r="F37" s="50"/>
      <c r="G37" s="25"/>
      <c r="H37" s="45" t="s">
        <v>10</v>
      </c>
      <c r="I37" s="46"/>
      <c r="J37" s="28" t="s">
        <v>8</v>
      </c>
      <c r="K37" s="19"/>
    </row>
    <row r="38" spans="1:17" ht="19.5" thickBot="1" x14ac:dyDescent="0.35">
      <c r="A38" s="18"/>
      <c r="B38" s="22"/>
      <c r="C38" s="26"/>
      <c r="D38" s="27"/>
      <c r="E38" s="49" t="e">
        <f t="shared" ref="E38:E41" si="2">+(D38*(($E$10*$J$52)/($J$51*$C$9)))</f>
        <v>#DIV/0!</v>
      </c>
      <c r="F38" s="50"/>
      <c r="G38" s="25"/>
      <c r="H38" s="47"/>
      <c r="I38" s="48"/>
      <c r="J38" s="29"/>
      <c r="K38" s="25"/>
    </row>
    <row r="39" spans="1:17" ht="18.75" x14ac:dyDescent="0.3">
      <c r="A39" s="18"/>
      <c r="B39" s="22"/>
      <c r="C39" s="26"/>
      <c r="D39" s="27"/>
      <c r="E39" s="49" t="e">
        <f t="shared" si="2"/>
        <v>#DIV/0!</v>
      </c>
      <c r="F39" s="50"/>
      <c r="G39" s="25"/>
      <c r="H39" s="33"/>
      <c r="I39" s="33"/>
      <c r="J39" s="19"/>
      <c r="K39" s="19"/>
    </row>
    <row r="40" spans="1:17" ht="18.75" x14ac:dyDescent="0.3">
      <c r="A40" s="18"/>
      <c r="B40" s="22"/>
      <c r="C40" s="26"/>
      <c r="D40" s="27"/>
      <c r="E40" s="49" t="e">
        <f t="shared" si="2"/>
        <v>#DIV/0!</v>
      </c>
      <c r="F40" s="50"/>
      <c r="G40" s="25"/>
      <c r="H40" s="33"/>
      <c r="I40" s="33"/>
      <c r="J40" s="19"/>
      <c r="K40" s="19"/>
    </row>
    <row r="41" spans="1:17" ht="18.75" x14ac:dyDescent="0.3">
      <c r="A41" s="18"/>
      <c r="B41" s="22"/>
      <c r="C41" s="26"/>
      <c r="D41" s="27"/>
      <c r="E41" s="49" t="e">
        <f t="shared" si="2"/>
        <v>#DIV/0!</v>
      </c>
      <c r="F41" s="50"/>
      <c r="G41" s="25"/>
      <c r="H41" s="57"/>
      <c r="I41" s="57"/>
      <c r="J41" s="19"/>
      <c r="K41" s="19"/>
    </row>
    <row r="42" spans="1:17" ht="18.75" thickBot="1" x14ac:dyDescent="0.3">
      <c r="A42" s="18"/>
      <c r="B42" s="30" t="s">
        <v>2</v>
      </c>
      <c r="C42" s="31"/>
      <c r="D42" s="31"/>
      <c r="E42" s="48" t="e">
        <f>+AVERAGE(E37:F41)</f>
        <v>#DIV/0!</v>
      </c>
      <c r="F42" s="53"/>
      <c r="G42" s="25"/>
      <c r="H42" s="25"/>
      <c r="I42" s="30"/>
      <c r="J42" s="30"/>
      <c r="K42" s="19"/>
    </row>
    <row r="43" spans="1:17" ht="27.75" customHeight="1" x14ac:dyDescent="0.3">
      <c r="A43" s="68" t="s">
        <v>23</v>
      </c>
      <c r="B43" s="68"/>
      <c r="C43" s="68"/>
      <c r="D43" s="68"/>
      <c r="E43" s="68"/>
      <c r="F43" s="68"/>
      <c r="G43" s="68"/>
      <c r="H43" s="68"/>
      <c r="I43" s="34"/>
      <c r="J43" s="34"/>
      <c r="K43" s="19"/>
    </row>
    <row r="44" spans="1:17" ht="16.5" customHeight="1" x14ac:dyDescent="0.3">
      <c r="A44" s="35" t="s">
        <v>24</v>
      </c>
      <c r="B44" s="36"/>
      <c r="C44" s="36"/>
      <c r="D44" s="36"/>
      <c r="E44" s="36"/>
      <c r="F44" s="36"/>
      <c r="G44" s="36"/>
      <c r="H44" s="36"/>
      <c r="I44" s="34"/>
      <c r="J44" s="34"/>
      <c r="K44" s="19"/>
    </row>
    <row r="45" spans="1:17" s="2" customFormat="1" x14ac:dyDescent="0.25">
      <c r="A45" s="38" t="s">
        <v>25</v>
      </c>
      <c r="B45" s="39"/>
      <c r="C45" s="8"/>
      <c r="D45" s="39"/>
      <c r="E45" s="39"/>
      <c r="F45" s="8"/>
      <c r="G45" s="8"/>
      <c r="H45" s="8"/>
      <c r="I45" s="8"/>
      <c r="J45" s="8"/>
      <c r="K45" s="40"/>
      <c r="L45" s="1"/>
      <c r="M45" s="1"/>
      <c r="N45" s="1"/>
      <c r="O45" s="1"/>
      <c r="P45" s="1"/>
      <c r="Q45" s="1"/>
    </row>
    <row r="46" spans="1:17" s="2" customFormat="1" x14ac:dyDescent="0.25">
      <c r="A46" s="38"/>
      <c r="B46" s="39"/>
      <c r="C46" s="8"/>
      <c r="D46" s="39"/>
      <c r="E46" s="39"/>
      <c r="F46" s="8"/>
      <c r="G46" s="8"/>
      <c r="H46" s="8"/>
      <c r="I46" s="8"/>
      <c r="J46" s="8"/>
      <c r="K46" s="40"/>
      <c r="L46" s="1"/>
      <c r="M46" s="1"/>
      <c r="N46" s="1"/>
      <c r="O46" s="1"/>
      <c r="P46" s="1"/>
      <c r="Q46" s="1"/>
    </row>
    <row r="47" spans="1:17" ht="27.75" customHeight="1" x14ac:dyDescent="0.25">
      <c r="A47" s="70" t="s">
        <v>26</v>
      </c>
      <c r="B47" s="70"/>
      <c r="C47" s="70"/>
      <c r="D47" s="70"/>
      <c r="E47" s="70"/>
      <c r="F47" s="70"/>
      <c r="G47" s="70"/>
      <c r="H47" s="70"/>
      <c r="I47" s="37"/>
      <c r="J47" s="37"/>
      <c r="K47" s="37"/>
    </row>
    <row r="48" spans="1:17" ht="15" customHeight="1" x14ac:dyDescent="0.25">
      <c r="A48" s="39" t="s">
        <v>27</v>
      </c>
      <c r="B48" s="39"/>
      <c r="C48" s="39"/>
      <c r="D48" s="41"/>
      <c r="E48" s="41"/>
      <c r="F48" s="41"/>
      <c r="G48" s="41"/>
      <c r="H48" s="41"/>
      <c r="I48" s="39"/>
      <c r="J48" s="8"/>
      <c r="K48" s="8"/>
    </row>
    <row r="49" spans="1:11" x14ac:dyDescent="0.25">
      <c r="A49" s="39" t="s">
        <v>28</v>
      </c>
      <c r="B49" s="8"/>
      <c r="C49" s="8"/>
      <c r="D49" s="39"/>
      <c r="E49" s="39"/>
      <c r="F49" s="39"/>
      <c r="G49" s="39"/>
      <c r="H49" s="39"/>
      <c r="I49" s="39"/>
      <c r="J49" s="8"/>
      <c r="K49" s="8"/>
    </row>
    <row r="50" spans="1:11" x14ac:dyDescent="0.25">
      <c r="A50" s="39" t="s">
        <v>29</v>
      </c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s="4" customFormat="1" ht="15" x14ac:dyDescent="0.25">
      <c r="A51" s="39" t="s">
        <v>30</v>
      </c>
      <c r="B51" s="8"/>
      <c r="C51" s="8"/>
      <c r="D51" s="8"/>
      <c r="E51" s="8"/>
      <c r="F51" s="8"/>
      <c r="G51" s="8"/>
      <c r="H51" s="8"/>
      <c r="I51" s="8" t="s">
        <v>16</v>
      </c>
      <c r="J51" s="14">
        <v>298.14999999999998</v>
      </c>
      <c r="K51" s="14"/>
    </row>
    <row r="52" spans="1:11" s="4" customFormat="1" ht="15" x14ac:dyDescent="0.25">
      <c r="A52" s="39" t="s">
        <v>31</v>
      </c>
      <c r="B52" s="8"/>
      <c r="C52" s="8"/>
      <c r="D52" s="8"/>
      <c r="E52" s="8"/>
      <c r="F52" s="8"/>
      <c r="G52" s="8"/>
      <c r="H52" s="43" t="s">
        <v>17</v>
      </c>
      <c r="I52" s="43"/>
      <c r="J52" s="14">
        <v>760</v>
      </c>
      <c r="K52" s="14"/>
    </row>
    <row r="53" spans="1:11" s="4" customFormat="1" ht="15" x14ac:dyDescent="0.25">
      <c r="A53" s="39" t="s">
        <v>32</v>
      </c>
      <c r="B53" s="8"/>
      <c r="C53" s="8"/>
      <c r="D53" s="8"/>
      <c r="E53" s="8"/>
      <c r="F53" s="8"/>
      <c r="G53" s="8"/>
      <c r="H53" s="8"/>
      <c r="I53" s="8"/>
      <c r="J53" s="14"/>
      <c r="K53" s="14"/>
    </row>
    <row r="54" spans="1:11" s="4" customFormat="1" ht="15" x14ac:dyDescent="0.25">
      <c r="A54" s="39"/>
      <c r="B54" s="8"/>
      <c r="C54" s="8"/>
      <c r="D54" s="8"/>
      <c r="E54" s="8"/>
      <c r="F54" s="8"/>
      <c r="G54" s="8"/>
      <c r="H54" s="8"/>
      <c r="I54" s="8"/>
      <c r="J54" s="14"/>
      <c r="K54" s="14"/>
    </row>
    <row r="55" spans="1:11" s="3" customFormat="1" ht="15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37"/>
      <c r="K55" s="37"/>
    </row>
    <row r="56" spans="1:11" ht="18.75" thickBot="1" x14ac:dyDescent="0.3">
      <c r="A56" s="42"/>
      <c r="B56" s="42"/>
      <c r="C56" s="42"/>
      <c r="D56" s="14"/>
      <c r="E56" s="14"/>
      <c r="F56" s="42"/>
      <c r="G56" s="42"/>
      <c r="H56" s="42"/>
      <c r="I56" s="42"/>
      <c r="J56" s="8"/>
      <c r="K56" s="8"/>
    </row>
    <row r="57" spans="1:11" x14ac:dyDescent="0.25">
      <c r="A57" s="67" t="s">
        <v>6</v>
      </c>
      <c r="B57" s="67"/>
      <c r="C57" s="67"/>
      <c r="D57" s="67"/>
      <c r="E57" s="14"/>
      <c r="F57" s="37" t="s">
        <v>7</v>
      </c>
      <c r="G57" s="37"/>
      <c r="H57" s="37"/>
      <c r="I57" s="37"/>
      <c r="J57" s="8"/>
      <c r="K57" s="8"/>
    </row>
  </sheetData>
  <mergeCells count="60">
    <mergeCell ref="A57:D57"/>
    <mergeCell ref="A43:H43"/>
    <mergeCell ref="E29:F29"/>
    <mergeCell ref="E30:F30"/>
    <mergeCell ref="E31:F31"/>
    <mergeCell ref="E32:F32"/>
    <mergeCell ref="E38:F38"/>
    <mergeCell ref="A34:A35"/>
    <mergeCell ref="H30:I30"/>
    <mergeCell ref="H31:I31"/>
    <mergeCell ref="E40:F40"/>
    <mergeCell ref="E41:F41"/>
    <mergeCell ref="E39:F39"/>
    <mergeCell ref="H41:I41"/>
    <mergeCell ref="A47:H47"/>
    <mergeCell ref="H36:J36"/>
    <mergeCell ref="B33:C33"/>
    <mergeCell ref="G33:H33"/>
    <mergeCell ref="E28:F28"/>
    <mergeCell ref="F11:F12"/>
    <mergeCell ref="G11:H12"/>
    <mergeCell ref="G14:H14"/>
    <mergeCell ref="E15:F15"/>
    <mergeCell ref="E16:F16"/>
    <mergeCell ref="E17:F17"/>
    <mergeCell ref="E18:F18"/>
    <mergeCell ref="E19:F19"/>
    <mergeCell ref="E20:F20"/>
    <mergeCell ref="E21:F21"/>
    <mergeCell ref="H15:J15"/>
    <mergeCell ref="H16:I16"/>
    <mergeCell ref="H18:I18"/>
    <mergeCell ref="H20:I20"/>
    <mergeCell ref="H29:I29"/>
    <mergeCell ref="D1:G5"/>
    <mergeCell ref="A9:B9"/>
    <mergeCell ref="A1:C5"/>
    <mergeCell ref="H1:K5"/>
    <mergeCell ref="B14:C14"/>
    <mergeCell ref="A11:A12"/>
    <mergeCell ref="D11:E11"/>
    <mergeCell ref="B11:C12"/>
    <mergeCell ref="J7:K7"/>
    <mergeCell ref="I11:K11"/>
    <mergeCell ref="H52:I52"/>
    <mergeCell ref="A7:B7"/>
    <mergeCell ref="C7:D7"/>
    <mergeCell ref="F7:I7"/>
    <mergeCell ref="H37:I37"/>
    <mergeCell ref="H38:I38"/>
    <mergeCell ref="E37:F37"/>
    <mergeCell ref="E36:F36"/>
    <mergeCell ref="E42:F42"/>
    <mergeCell ref="E26:F26"/>
    <mergeCell ref="H26:J26"/>
    <mergeCell ref="E27:F27"/>
    <mergeCell ref="H27:I27"/>
    <mergeCell ref="H28:I28"/>
    <mergeCell ref="H17:I17"/>
    <mergeCell ref="H19:I19"/>
  </mergeCells>
  <phoneticPr fontId="0" type="noConversion"/>
  <printOptions horizontalCentered="1"/>
  <pageMargins left="0.31496062992125984" right="0.43307086614173229" top="0.35433070866141736" bottom="0.27559055118110237" header="0" footer="0"/>
  <pageSetup scale="75" orientation="portrait" horizontalDpi="4294967294" verticalDpi="300" r:id="rId1"/>
  <headerFooter alignWithMargins="0"/>
  <ignoredErrors>
    <ignoredError sqref="E27:F31 E37:F41 E42 E16:F21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001</vt:lpstr>
      <vt:lpstr>'001'!Área_de_impresión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APTIVA 510 486DX2-66 MHZ</dc:creator>
  <cp:lastModifiedBy>Jhoana Mendoza</cp:lastModifiedBy>
  <cp:lastPrinted>2013-05-10T17:17:56Z</cp:lastPrinted>
  <dcterms:created xsi:type="dcterms:W3CDTF">2001-01-13T09:45:27Z</dcterms:created>
  <dcterms:modified xsi:type="dcterms:W3CDTF">2023-08-27T23:32:09Z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