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oana.mendoza\Downloads\formtos dt\OPERACIONES\"/>
    </mc:Choice>
  </mc:AlternateContent>
  <xr:revisionPtr revIDLastSave="0" documentId="13_ncr:1_{317C18B1-3385-4711-B7DD-F5799E56706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M10-0XX (Nombre del punto)" sheetId="10" r:id="rId1"/>
  </sheets>
  <definedNames>
    <definedName name="__123Graph_A" localSheetId="0" hidden="1">'PM10-0XX (Nombre del punto)'!#REF!</definedName>
    <definedName name="__123Graph_A" hidden="1">#REF!</definedName>
    <definedName name="__123Graph_X" localSheetId="0" hidden="1">'PM10-0XX (Nombre del punto)'!$P$1:$P$1</definedName>
    <definedName name="__123Graph_X" hidden="1">#REF!</definedName>
    <definedName name="_Regression_Int" localSheetId="0" hidden="1">1</definedName>
    <definedName name="_xlnm.Print_Area" localSheetId="0">'PM10-0XX (Nombre del punto)'!$A$1:$J$33</definedName>
    <definedName name="Print_Area_MI" localSheetId="0">'PM10-0XX (Nombre del punto)'!$A$1:$K$37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0" l="1"/>
  <c r="G23" i="10" s="1"/>
  <c r="F22" i="10"/>
  <c r="G22" i="10" s="1"/>
  <c r="F21" i="10"/>
  <c r="G21" i="10" s="1"/>
  <c r="F20" i="10"/>
  <c r="G20" i="10" s="1"/>
  <c r="F19" i="10"/>
  <c r="G19" i="10" s="1"/>
  <c r="D13" i="10"/>
  <c r="D23" i="10" s="1"/>
  <c r="I23" i="10" s="1"/>
  <c r="D21" i="10" l="1"/>
  <c r="I21" i="10" s="1"/>
  <c r="D20" i="10"/>
  <c r="I20" i="10" s="1"/>
  <c r="D19" i="10"/>
  <c r="I19" i="10" s="1"/>
  <c r="D22" i="10"/>
  <c r="I22" i="10" s="1"/>
</calcChain>
</file>

<file path=xl/sharedStrings.xml><?xml version="1.0" encoding="utf-8"?>
<sst xmlns="http://schemas.openxmlformats.org/spreadsheetml/2006/main" count="48" uniqueCount="44">
  <si>
    <t xml:space="preserve">                                        </t>
  </si>
  <si>
    <t xml:space="preserve"> </t>
  </si>
  <si>
    <t>mm Hg</t>
  </si>
  <si>
    <t>Po/Pa</t>
  </si>
  <si>
    <t>Diff</t>
  </si>
  <si>
    <t>Pa (mm Hg):</t>
  </si>
  <si>
    <t>Qa</t>
  </si>
  <si>
    <t>Look Up</t>
  </si>
  <si>
    <t>Number</t>
  </si>
  <si>
    <t>% of</t>
  </si>
  <si>
    <t>Run</t>
  </si>
  <si>
    <t>Relacion de presion (Po/Pa) = 1-Pf/Pa</t>
  </si>
  <si>
    <t>Fecha:</t>
  </si>
  <si>
    <t>Encargado:</t>
  </si>
  <si>
    <t>Muestreador:</t>
  </si>
  <si>
    <t>Calibrador</t>
  </si>
  <si>
    <t>Fabricante:</t>
  </si>
  <si>
    <t>m:</t>
  </si>
  <si>
    <t>b:</t>
  </si>
  <si>
    <t>Flujo de calibrador (Qa) = 1/m*(SQRT(H20*(Ta/Pa))-b)</t>
  </si>
  <si>
    <t>% Diferencia = (Look Up Flow-Flujo calibrador)/Flujo calibrador*100</t>
  </si>
  <si>
    <t>TISCH</t>
  </si>
  <si>
    <t>Estancamiento</t>
  </si>
  <si>
    <t>CONDICIONES</t>
  </si>
  <si>
    <t>VERIFICACIÓN</t>
  </si>
  <si>
    <t>CALCULOS</t>
  </si>
  <si>
    <r>
      <t>m</t>
    </r>
    <r>
      <rPr>
        <vertAlign val="superscript"/>
        <sz val="10"/>
        <rFont val="Calibri"/>
        <family val="2"/>
        <scheme val="minor"/>
      </rPr>
      <t>3</t>
    </r>
    <r>
      <rPr>
        <sz val="10"/>
        <rFont val="Calibri"/>
        <family val="2"/>
        <scheme val="minor"/>
      </rPr>
      <t>/min</t>
    </r>
  </si>
  <si>
    <r>
      <t>in 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O</t>
    </r>
  </si>
  <si>
    <r>
      <t>P</t>
    </r>
    <r>
      <rPr>
        <vertAlign val="subscript"/>
        <sz val="10"/>
        <rFont val="Calibri"/>
        <family val="2"/>
        <scheme val="minor"/>
      </rPr>
      <t>f</t>
    </r>
  </si>
  <si>
    <t>Ta (°C):</t>
  </si>
  <si>
    <t>Ta (K):</t>
  </si>
  <si>
    <t>Serial#:</t>
  </si>
  <si>
    <t>HOJA DE CALCULO VERIFICACIÓN PM10 VOLUMETRICO</t>
  </si>
  <si>
    <t>ID:</t>
  </si>
  <si>
    <t>VER-XXX</t>
  </si>
  <si>
    <r>
      <t xml:space="preserve">% Diferencia debe ser de </t>
    </r>
    <r>
      <rPr>
        <sz val="10"/>
        <rFont val="Calibri"/>
        <family val="2"/>
      </rPr>
      <t>±4% para aprobar la verificación</t>
    </r>
  </si>
  <si>
    <t>xx</t>
  </si>
  <si>
    <t>xx/xx/20xx</t>
  </si>
  <si>
    <t>PM10-0xx</t>
  </si>
  <si>
    <t>Ciudad/Cliente:</t>
  </si>
  <si>
    <t>Por lo menos 3 valores de Qa deben estar dentro del rango (1,02 m3/min-1,24 m3/min)</t>
  </si>
  <si>
    <t>Nombre / Firma Ingeniero Responsable</t>
  </si>
  <si>
    <t>Nombre / Firma Aprobador</t>
  </si>
  <si>
    <t>Código: FO-PO-PSM-03-02
Versión: 02
Fecha: 26/08/23
Página: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</si>
</sst>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_)"/>
    <numFmt numFmtId="166" formatCode="0.000_)"/>
    <numFmt numFmtId="167" formatCode="0.0000_)"/>
    <numFmt numFmtId="168" formatCode="0.000"/>
    <numFmt numFmtId="169" formatCode="mmm\ d\,\ yyyy"/>
    <numFmt numFmtId="170" formatCode="0.0_)"/>
    <numFmt numFmtId="171" formatCode="0.0000000_)"/>
    <numFmt numFmtId="172" formatCode="0.00000_)"/>
  </numFmts>
  <fonts count="16" x14ac:knownFonts="1">
    <font>
      <sz val="10"/>
      <name val="Courier"/>
    </font>
    <font>
      <sz val="10"/>
      <color indexed="12"/>
      <name val="Courier"/>
      <family val="3"/>
    </font>
    <font>
      <sz val="10"/>
      <name val="Courier"/>
      <family val="3"/>
    </font>
    <font>
      <sz val="10"/>
      <color indexed="12"/>
      <name val="Courier"/>
      <family val="3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vertAlign val="sub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2"/>
      <name val="Times New Roman"/>
      <family val="1"/>
    </font>
    <font>
      <b/>
      <sz val="10"/>
      <name val="Arial"/>
      <family val="2"/>
    </font>
    <font>
      <sz val="10"/>
      <name val="Calibri"/>
      <family val="2"/>
    </font>
    <font>
      <sz val="9"/>
      <name val="Arial"/>
      <family val="2"/>
    </font>
    <font>
      <sz val="11"/>
      <name val="Avenir Next LT Pro"/>
      <family val="2"/>
    </font>
    <font>
      <sz val="10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164" fontId="0" fillId="0" borderId="0"/>
    <xf numFmtId="164" fontId="2" fillId="0" borderId="0"/>
  </cellStyleXfs>
  <cellXfs count="97">
    <xf numFmtId="164" fontId="0" fillId="0" borderId="0" xfId="0"/>
    <xf numFmtId="164" fontId="0" fillId="0" borderId="0" xfId="0" applyAlignment="1">
      <alignment vertical="center"/>
    </xf>
    <xf numFmtId="164" fontId="0" fillId="0" borderId="0" xfId="0" applyAlignment="1">
      <alignment horizontal="left" vertical="center"/>
    </xf>
    <xf numFmtId="164" fontId="1" fillId="0" borderId="0" xfId="0" applyFont="1" applyAlignment="1" applyProtection="1">
      <alignment vertical="center"/>
      <protection locked="0"/>
    </xf>
    <xf numFmtId="167" fontId="1" fillId="0" borderId="0" xfId="0" applyNumberFormat="1" applyFont="1" applyAlignment="1" applyProtection="1">
      <alignment vertical="center"/>
      <protection locked="0"/>
    </xf>
    <xf numFmtId="165" fontId="0" fillId="0" borderId="0" xfId="0" applyNumberFormat="1" applyAlignment="1">
      <alignment vertical="center"/>
    </xf>
    <xf numFmtId="165" fontId="1" fillId="0" borderId="0" xfId="0" applyNumberFormat="1" applyFont="1" applyAlignment="1" applyProtection="1">
      <alignment vertical="center"/>
      <protection locked="0"/>
    </xf>
    <xf numFmtId="166" fontId="0" fillId="0" borderId="0" xfId="0" applyNumberFormat="1" applyAlignment="1">
      <alignment vertical="center"/>
    </xf>
    <xf numFmtId="166" fontId="1" fillId="0" borderId="0" xfId="0" applyNumberFormat="1" applyFont="1" applyAlignment="1" applyProtection="1">
      <alignment vertical="center"/>
      <protection locked="0"/>
    </xf>
    <xf numFmtId="171" fontId="3" fillId="0" borderId="0" xfId="0" applyNumberFormat="1" applyFont="1" applyAlignment="1" applyProtection="1">
      <alignment horizontal="right" vertical="center"/>
      <protection locked="0"/>
    </xf>
    <xf numFmtId="164" fontId="5" fillId="0" borderId="0" xfId="0" applyFont="1" applyAlignment="1">
      <alignment vertical="center"/>
    </xf>
    <xf numFmtId="164" fontId="5" fillId="0" borderId="1" xfId="0" applyFont="1" applyBorder="1" applyAlignment="1">
      <alignment vertical="center"/>
    </xf>
    <xf numFmtId="164" fontId="5" fillId="0" borderId="2" xfId="0" applyFont="1" applyBorder="1" applyAlignment="1">
      <alignment vertical="center"/>
    </xf>
    <xf numFmtId="164" fontId="5" fillId="0" borderId="3" xfId="0" applyFont="1" applyBorder="1" applyAlignment="1">
      <alignment vertical="center"/>
    </xf>
    <xf numFmtId="164" fontId="5" fillId="0" borderId="5" xfId="0" applyFont="1" applyBorder="1" applyAlignment="1">
      <alignment vertical="center"/>
    </xf>
    <xf numFmtId="164" fontId="5" fillId="0" borderId="4" xfId="0" applyFont="1" applyBorder="1" applyAlignment="1">
      <alignment horizontal="right" vertical="center"/>
    </xf>
    <xf numFmtId="164" fontId="7" fillId="0" borderId="0" xfId="0" applyFont="1" applyAlignment="1" applyProtection="1">
      <alignment horizontal="left" vertical="center"/>
      <protection locked="0"/>
    </xf>
    <xf numFmtId="164" fontId="7" fillId="0" borderId="7" xfId="0" applyFont="1" applyBorder="1" applyAlignment="1" applyProtection="1">
      <alignment horizontal="left" vertical="center"/>
      <protection locked="0"/>
    </xf>
    <xf numFmtId="164" fontId="5" fillId="0" borderId="7" xfId="0" applyFont="1" applyBorder="1" applyAlignment="1">
      <alignment vertical="center"/>
    </xf>
    <xf numFmtId="164" fontId="5" fillId="0" borderId="7" xfId="0" applyFont="1" applyBorder="1" applyAlignment="1">
      <alignment horizontal="right" vertical="center"/>
    </xf>
    <xf numFmtId="164" fontId="5" fillId="0" borderId="8" xfId="0" applyFont="1" applyBorder="1" applyAlignment="1">
      <alignment vertical="center"/>
    </xf>
    <xf numFmtId="164" fontId="5" fillId="0" borderId="1" xfId="0" applyFont="1" applyBorder="1" applyAlignment="1">
      <alignment horizontal="right" vertical="center"/>
    </xf>
    <xf numFmtId="164" fontId="5" fillId="0" borderId="2" xfId="0" applyFont="1" applyBorder="1" applyAlignment="1">
      <alignment horizontal="right" vertical="center"/>
    </xf>
    <xf numFmtId="164" fontId="5" fillId="0" borderId="1" xfId="0" applyFont="1" applyBorder="1" applyAlignment="1">
      <alignment horizontal="center" vertical="center"/>
    </xf>
    <xf numFmtId="164" fontId="5" fillId="0" borderId="2" xfId="0" applyFont="1" applyBorder="1" applyAlignment="1">
      <alignment horizontal="center" vertical="center"/>
    </xf>
    <xf numFmtId="164" fontId="5" fillId="0" borderId="3" xfId="0" applyFont="1" applyBorder="1" applyAlignment="1">
      <alignment horizontal="center" vertical="center"/>
    </xf>
    <xf numFmtId="166" fontId="7" fillId="0" borderId="0" xfId="0" applyNumberFormat="1" applyFont="1" applyAlignment="1" applyProtection="1">
      <alignment horizontal="center" vertical="center"/>
      <protection locked="0"/>
    </xf>
    <xf numFmtId="166" fontId="7" fillId="0" borderId="7" xfId="0" applyNumberFormat="1" applyFont="1" applyBorder="1" applyAlignment="1" applyProtection="1">
      <alignment horizontal="center" vertical="center"/>
      <protection locked="0"/>
    </xf>
    <xf numFmtId="164" fontId="5" fillId="0" borderId="0" xfId="0" applyFont="1" applyAlignment="1">
      <alignment horizontal="left" vertical="center"/>
    </xf>
    <xf numFmtId="164" fontId="5" fillId="0" borderId="4" xfId="0" applyFont="1" applyBorder="1" applyAlignment="1">
      <alignment vertical="center"/>
    </xf>
    <xf numFmtId="164" fontId="5" fillId="0" borderId="6" xfId="0" applyFont="1" applyBorder="1" applyAlignment="1">
      <alignment vertical="center"/>
    </xf>
    <xf numFmtId="164" fontId="0" fillId="0" borderId="7" xfId="0" applyBorder="1" applyAlignment="1">
      <alignment vertical="center"/>
    </xf>
    <xf numFmtId="0" fontId="7" fillId="0" borderId="4" xfId="0" applyNumberFormat="1" applyFont="1" applyBorder="1" applyAlignment="1" applyProtection="1">
      <alignment horizontal="center" vertical="center"/>
      <protection locked="0"/>
    </xf>
    <xf numFmtId="0" fontId="7" fillId="0" borderId="6" xfId="0" applyNumberFormat="1" applyFont="1" applyBorder="1" applyAlignment="1" applyProtection="1">
      <alignment horizontal="center" vertical="center"/>
      <protection locked="0"/>
    </xf>
    <xf numFmtId="164" fontId="5" fillId="0" borderId="4" xfId="0" applyFont="1" applyBorder="1" applyAlignment="1">
      <alignment horizontal="center" vertical="center"/>
    </xf>
    <xf numFmtId="164" fontId="5" fillId="0" borderId="0" xfId="0" applyFont="1" applyAlignment="1">
      <alignment horizontal="center" vertical="center"/>
    </xf>
    <xf numFmtId="164" fontId="7" fillId="0" borderId="2" xfId="0" applyFont="1" applyBorder="1" applyAlignment="1" applyProtection="1">
      <alignment horizontal="left" vertical="center"/>
      <protection locked="0"/>
    </xf>
    <xf numFmtId="165" fontId="7" fillId="0" borderId="3" xfId="0" applyNumberFormat="1" applyFont="1" applyBorder="1" applyAlignment="1" applyProtection="1">
      <alignment horizontal="left" vertical="center"/>
      <protection locked="0"/>
    </xf>
    <xf numFmtId="164" fontId="5" fillId="0" borderId="5" xfId="0" applyFont="1" applyBorder="1" applyAlignment="1">
      <alignment horizontal="center" vertical="center"/>
    </xf>
    <xf numFmtId="164" fontId="7" fillId="0" borderId="0" xfId="0" applyFont="1" applyAlignment="1" applyProtection="1">
      <alignment horizontal="center" vertical="center"/>
      <protection locked="0"/>
    </xf>
    <xf numFmtId="164" fontId="7" fillId="0" borderId="7" xfId="0" applyFont="1" applyBorder="1" applyAlignment="1" applyProtection="1">
      <alignment horizontal="center" vertical="center"/>
      <protection locked="0"/>
    </xf>
    <xf numFmtId="170" fontId="7" fillId="0" borderId="0" xfId="0" applyNumberFormat="1" applyFont="1" applyAlignment="1" applyProtection="1">
      <alignment horizontal="center" vertical="center"/>
      <protection locked="0"/>
    </xf>
    <xf numFmtId="170" fontId="7" fillId="0" borderId="7" xfId="0" applyNumberFormat="1" applyFont="1" applyBorder="1" applyAlignment="1" applyProtection="1">
      <alignment horizontal="center" vertical="center"/>
      <protection locked="0"/>
    </xf>
    <xf numFmtId="2" fontId="5" fillId="0" borderId="5" xfId="0" applyNumberFormat="1" applyFont="1" applyBorder="1" applyAlignment="1" applyProtection="1">
      <alignment horizontal="center" vertical="center"/>
      <protection hidden="1"/>
    </xf>
    <xf numFmtId="2" fontId="5" fillId="0" borderId="8" xfId="0" applyNumberFormat="1" applyFont="1" applyBorder="1" applyAlignment="1" applyProtection="1">
      <alignment horizontal="center" vertical="center"/>
      <protection hidden="1"/>
    </xf>
    <xf numFmtId="166" fontId="5" fillId="0" borderId="0" xfId="0" applyNumberFormat="1" applyFont="1" applyAlignment="1" applyProtection="1">
      <alignment horizontal="center" vertical="center"/>
      <protection hidden="1"/>
    </xf>
    <xf numFmtId="166" fontId="5" fillId="0" borderId="7" xfId="0" applyNumberFormat="1" applyFont="1" applyBorder="1" applyAlignment="1" applyProtection="1">
      <alignment horizontal="center" vertical="center"/>
      <protection hidden="1"/>
    </xf>
    <xf numFmtId="168" fontId="5" fillId="0" borderId="0" xfId="0" applyNumberFormat="1" applyFont="1" applyAlignment="1" applyProtection="1">
      <alignment horizontal="center" vertical="center"/>
      <protection hidden="1"/>
    </xf>
    <xf numFmtId="168" fontId="5" fillId="0" borderId="7" xfId="0" applyNumberFormat="1" applyFont="1" applyBorder="1" applyAlignment="1" applyProtection="1">
      <alignment horizontal="center" vertical="center"/>
      <protection hidden="1"/>
    </xf>
    <xf numFmtId="1" fontId="5" fillId="0" borderId="0" xfId="0" applyNumberFormat="1" applyFont="1" applyAlignment="1" applyProtection="1">
      <alignment horizontal="center" vertical="center"/>
      <protection hidden="1"/>
    </xf>
    <xf numFmtId="164" fontId="5" fillId="0" borderId="0" xfId="0" applyFont="1" applyAlignment="1">
      <alignment horizontal="right" vertical="center"/>
    </xf>
    <xf numFmtId="165" fontId="7" fillId="0" borderId="0" xfId="0" applyNumberFormat="1" applyFont="1" applyAlignment="1" applyProtection="1">
      <alignment horizontal="left" vertical="center"/>
      <protection locked="0"/>
    </xf>
    <xf numFmtId="172" fontId="7" fillId="0" borderId="5" xfId="0" applyNumberFormat="1" applyFont="1" applyBorder="1" applyAlignment="1" applyProtection="1">
      <alignment horizontal="center" vertical="center"/>
      <protection locked="0"/>
    </xf>
    <xf numFmtId="172" fontId="7" fillId="0" borderId="8" xfId="0" applyNumberFormat="1" applyFont="1" applyBorder="1" applyAlignment="1" applyProtection="1">
      <alignment horizontal="center" vertical="center"/>
      <protection locked="0"/>
    </xf>
    <xf numFmtId="164" fontId="14" fillId="0" borderId="12" xfId="0" applyFont="1" applyBorder="1"/>
    <xf numFmtId="164" fontId="14" fillId="0" borderId="0" xfId="0" applyFont="1"/>
    <xf numFmtId="164" fontId="15" fillId="0" borderId="0" xfId="0" applyFont="1"/>
    <xf numFmtId="164" fontId="15" fillId="0" borderId="0" xfId="0" applyFont="1" applyAlignment="1">
      <alignment horizontal="left"/>
    </xf>
    <xf numFmtId="164" fontId="5" fillId="0" borderId="6" xfId="0" applyFont="1" applyBorder="1" applyAlignment="1">
      <alignment horizontal="center" vertical="center"/>
    </xf>
    <xf numFmtId="164" fontId="5" fillId="0" borderId="7" xfId="0" applyFont="1" applyBorder="1" applyAlignment="1">
      <alignment horizontal="center" vertical="center"/>
    </xf>
    <xf numFmtId="164" fontId="5" fillId="0" borderId="8" xfId="0" applyFont="1" applyBorder="1" applyAlignment="1">
      <alignment horizontal="center" vertical="center"/>
    </xf>
    <xf numFmtId="164" fontId="5" fillId="0" borderId="1" xfId="0" applyFont="1" applyBorder="1" applyAlignment="1">
      <alignment horizontal="right" vertical="center"/>
    </xf>
    <xf numFmtId="164" fontId="5" fillId="0" borderId="2" xfId="0" applyFont="1" applyBorder="1" applyAlignment="1">
      <alignment horizontal="right" vertical="center"/>
    </xf>
    <xf numFmtId="164" fontId="5" fillId="0" borderId="4" xfId="0" applyFont="1" applyBorder="1" applyAlignment="1">
      <alignment horizontal="right" vertical="center"/>
    </xf>
    <xf numFmtId="164" fontId="5" fillId="0" borderId="0" xfId="0" applyFont="1" applyAlignment="1">
      <alignment horizontal="right" vertical="center"/>
    </xf>
    <xf numFmtId="164" fontId="5" fillId="0" borderId="6" xfId="0" applyFont="1" applyBorder="1" applyAlignment="1">
      <alignment horizontal="right" vertical="center"/>
    </xf>
    <xf numFmtId="164" fontId="5" fillId="0" borderId="7" xfId="0" applyFont="1" applyBorder="1" applyAlignment="1">
      <alignment horizontal="right" vertical="center"/>
    </xf>
    <xf numFmtId="164" fontId="5" fillId="0" borderId="2" xfId="0" applyFont="1" applyBorder="1" applyAlignment="1">
      <alignment horizontal="center" vertical="center"/>
    </xf>
    <xf numFmtId="164" fontId="5" fillId="0" borderId="0" xfId="0" applyFont="1" applyAlignment="1">
      <alignment horizontal="center" vertical="center"/>
    </xf>
    <xf numFmtId="164" fontId="4" fillId="2" borderId="9" xfId="0" applyFont="1" applyFill="1" applyBorder="1" applyAlignment="1">
      <alignment horizontal="center" vertical="center"/>
    </xf>
    <xf numFmtId="164" fontId="6" fillId="2" borderId="10" xfId="0" applyFont="1" applyFill="1" applyBorder="1" applyAlignment="1">
      <alignment horizontal="center" vertical="center"/>
    </xf>
    <xf numFmtId="164" fontId="6" fillId="2" borderId="11" xfId="0" applyFont="1" applyFill="1" applyBorder="1" applyAlignment="1">
      <alignment horizontal="center" vertical="center"/>
    </xf>
    <xf numFmtId="164" fontId="4" fillId="2" borderId="10" xfId="0" applyFont="1" applyFill="1" applyBorder="1" applyAlignment="1">
      <alignment horizontal="center" vertical="center"/>
    </xf>
    <xf numFmtId="164" fontId="4" fillId="2" borderId="11" xfId="0" applyFont="1" applyFill="1" applyBorder="1" applyAlignment="1">
      <alignment horizontal="center" vertical="center"/>
    </xf>
    <xf numFmtId="164" fontId="5" fillId="0" borderId="4" xfId="0" applyFont="1" applyBorder="1" applyAlignment="1">
      <alignment horizontal="center" vertical="center"/>
    </xf>
    <xf numFmtId="164" fontId="5" fillId="0" borderId="5" xfId="0" applyFont="1" applyBorder="1" applyAlignment="1">
      <alignment horizontal="center" vertical="center"/>
    </xf>
    <xf numFmtId="164" fontId="7" fillId="0" borderId="2" xfId="0" applyFont="1" applyBorder="1" applyAlignment="1" applyProtection="1">
      <alignment horizontal="left" vertical="center"/>
      <protection locked="0"/>
    </xf>
    <xf numFmtId="169" fontId="7" fillId="0" borderId="0" xfId="0" applyNumberFormat="1" applyFont="1" applyAlignment="1" applyProtection="1">
      <alignment horizontal="left" vertical="center"/>
      <protection locked="0"/>
    </xf>
    <xf numFmtId="169" fontId="7" fillId="0" borderId="5" xfId="0" applyNumberFormat="1" applyFont="1" applyBorder="1" applyAlignment="1" applyProtection="1">
      <alignment horizontal="left" vertical="center"/>
      <protection locked="0"/>
    </xf>
    <xf numFmtId="164" fontId="10" fillId="0" borderId="1" xfId="0" applyFont="1" applyBorder="1" applyAlignment="1">
      <alignment horizontal="center" vertical="center" wrapText="1"/>
    </xf>
    <xf numFmtId="164" fontId="10" fillId="0" borderId="3" xfId="0" applyFont="1" applyBorder="1" applyAlignment="1">
      <alignment horizontal="center" vertical="center" wrapText="1"/>
    </xf>
    <xf numFmtId="164" fontId="10" fillId="0" borderId="4" xfId="0" applyFont="1" applyBorder="1" applyAlignment="1">
      <alignment horizontal="center" vertical="center" wrapText="1"/>
    </xf>
    <xf numFmtId="164" fontId="10" fillId="0" borderId="5" xfId="0" applyFont="1" applyBorder="1" applyAlignment="1">
      <alignment horizontal="center" vertical="center" wrapText="1"/>
    </xf>
    <xf numFmtId="164" fontId="10" fillId="0" borderId="6" xfId="0" applyFont="1" applyBorder="1" applyAlignment="1">
      <alignment horizontal="center" vertical="center" wrapText="1"/>
    </xf>
    <xf numFmtId="164" fontId="10" fillId="0" borderId="8" xfId="0" applyFont="1" applyBorder="1" applyAlignment="1">
      <alignment horizontal="center" vertical="center" wrapText="1"/>
    </xf>
    <xf numFmtId="164" fontId="11" fillId="0" borderId="2" xfId="0" applyFont="1" applyBorder="1" applyAlignment="1">
      <alignment horizontal="center" vertical="center" wrapText="1"/>
    </xf>
    <xf numFmtId="164" fontId="11" fillId="0" borderId="3" xfId="0" applyFont="1" applyBorder="1" applyAlignment="1">
      <alignment horizontal="center" vertical="center" wrapText="1"/>
    </xf>
    <xf numFmtId="164" fontId="11" fillId="0" borderId="0" xfId="0" applyFont="1" applyAlignment="1">
      <alignment horizontal="center" vertical="center" wrapText="1"/>
    </xf>
    <xf numFmtId="164" fontId="11" fillId="0" borderId="5" xfId="0" applyFont="1" applyBorder="1" applyAlignment="1">
      <alignment horizontal="center" vertical="center" wrapText="1"/>
    </xf>
    <xf numFmtId="164" fontId="11" fillId="0" borderId="7" xfId="0" applyFont="1" applyBorder="1" applyAlignment="1">
      <alignment horizontal="center" vertical="center" wrapText="1"/>
    </xf>
    <xf numFmtId="164" fontId="11" fillId="0" borderId="8" xfId="0" applyFont="1" applyBorder="1" applyAlignment="1">
      <alignment horizontal="center" vertical="center" wrapText="1"/>
    </xf>
    <xf numFmtId="164" fontId="13" fillId="0" borderId="1" xfId="0" applyFont="1" applyBorder="1" applyAlignment="1">
      <alignment horizontal="left" vertical="center" wrapText="1"/>
    </xf>
    <xf numFmtId="164" fontId="13" fillId="0" borderId="3" xfId="0" applyFont="1" applyBorder="1" applyAlignment="1">
      <alignment horizontal="left" vertical="center" wrapText="1"/>
    </xf>
    <xf numFmtId="164" fontId="13" fillId="0" borderId="4" xfId="0" applyFont="1" applyBorder="1" applyAlignment="1">
      <alignment horizontal="left" vertical="center" wrapText="1"/>
    </xf>
    <xf numFmtId="164" fontId="13" fillId="0" borderId="5" xfId="0" applyFont="1" applyBorder="1" applyAlignment="1">
      <alignment horizontal="left" vertical="center" wrapText="1"/>
    </xf>
    <xf numFmtId="164" fontId="13" fillId="0" borderId="6" xfId="0" applyFont="1" applyBorder="1" applyAlignment="1">
      <alignment horizontal="left" vertical="center" wrapText="1"/>
    </xf>
    <xf numFmtId="164" fontId="13" fillId="0" borderId="8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1</xdr:row>
      <xdr:rowOff>47625</xdr:rowOff>
    </xdr:from>
    <xdr:to>
      <xdr:col>2</xdr:col>
      <xdr:colOff>391585</xdr:colOff>
      <xdr:row>5</xdr:row>
      <xdr:rowOff>128588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AA82C9-6902-4AC3-BA03-BF5038143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9575" y="200025"/>
          <a:ext cx="696385" cy="690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>
    <pageSetUpPr fitToPage="1"/>
  </sheetPr>
  <dimension ref="A1:O67"/>
  <sheetViews>
    <sheetView showGridLines="0" tabSelected="1" view="pageBreakPreview" zoomScaleNormal="100" zoomScaleSheetLayoutView="100" workbookViewId="0">
      <selection activeCell="F14" sqref="F14:G14"/>
    </sheetView>
  </sheetViews>
  <sheetFormatPr baseColWidth="10" defaultColWidth="8.625" defaultRowHeight="12" x14ac:dyDescent="0.15"/>
  <cols>
    <col min="1" max="1" width="2.625" style="1" customWidth="1"/>
    <col min="2" max="2" width="6.75" style="1" customWidth="1"/>
    <col min="3" max="3" width="8.125" style="1" customWidth="1"/>
    <col min="4" max="7" width="8.625" style="1" customWidth="1"/>
    <col min="8" max="8" width="7.25" style="1" customWidth="1"/>
    <col min="9" max="9" width="12.625" style="1" customWidth="1"/>
    <col min="10" max="10" width="1.75" style="1" customWidth="1"/>
    <col min="11" max="11" width="12.75" style="1" bestFit="1" customWidth="1"/>
    <col min="12" max="12" width="10.75" style="1" bestFit="1" customWidth="1"/>
    <col min="13" max="16384" width="8.625" style="1"/>
  </cols>
  <sheetData>
    <row r="1" spans="2:11" x14ac:dyDescent="0.15">
      <c r="E1" s="2" t="s">
        <v>0</v>
      </c>
    </row>
    <row r="2" spans="2:11" ht="12" customHeight="1" x14ac:dyDescent="0.15">
      <c r="B2" s="79"/>
      <c r="C2" s="80"/>
      <c r="D2" s="85" t="s">
        <v>32</v>
      </c>
      <c r="E2" s="85"/>
      <c r="F2" s="85"/>
      <c r="G2" s="86"/>
      <c r="H2" s="91" t="s">
        <v>43</v>
      </c>
      <c r="I2" s="92"/>
    </row>
    <row r="3" spans="2:11" ht="12" customHeight="1" x14ac:dyDescent="0.15">
      <c r="B3" s="81"/>
      <c r="C3" s="82"/>
      <c r="D3" s="87"/>
      <c r="E3" s="87"/>
      <c r="F3" s="87"/>
      <c r="G3" s="88"/>
      <c r="H3" s="93"/>
      <c r="I3" s="94"/>
    </row>
    <row r="4" spans="2:11" ht="12" customHeight="1" x14ac:dyDescent="0.15">
      <c r="B4" s="81"/>
      <c r="C4" s="82"/>
      <c r="D4" s="87"/>
      <c r="E4" s="87"/>
      <c r="F4" s="87"/>
      <c r="G4" s="88"/>
      <c r="H4" s="93"/>
      <c r="I4" s="94"/>
    </row>
    <row r="5" spans="2:11" x14ac:dyDescent="0.15">
      <c r="B5" s="81"/>
      <c r="C5" s="82"/>
      <c r="D5" s="87"/>
      <c r="E5" s="87"/>
      <c r="F5" s="87"/>
      <c r="G5" s="88"/>
      <c r="H5" s="93"/>
      <c r="I5" s="94"/>
    </row>
    <row r="6" spans="2:11" ht="13.5" customHeight="1" x14ac:dyDescent="0.15">
      <c r="B6" s="83"/>
      <c r="C6" s="84"/>
      <c r="D6" s="89"/>
      <c r="E6" s="89"/>
      <c r="F6" s="89"/>
      <c r="G6" s="90"/>
      <c r="H6" s="95"/>
      <c r="I6" s="96"/>
    </row>
    <row r="7" spans="2:11" ht="12.75" x14ac:dyDescent="0.15">
      <c r="B7" s="61" t="s">
        <v>39</v>
      </c>
      <c r="C7" s="62"/>
      <c r="D7" s="76" t="s">
        <v>36</v>
      </c>
      <c r="E7" s="76"/>
      <c r="F7" s="21" t="s">
        <v>16</v>
      </c>
      <c r="G7" s="36" t="s">
        <v>21</v>
      </c>
      <c r="H7" s="22"/>
      <c r="I7" s="37"/>
    </row>
    <row r="8" spans="2:11" ht="12.75" x14ac:dyDescent="0.15">
      <c r="B8" s="63" t="s">
        <v>12</v>
      </c>
      <c r="C8" s="64"/>
      <c r="D8" s="77" t="s">
        <v>37</v>
      </c>
      <c r="E8" s="78"/>
      <c r="F8" s="15" t="s">
        <v>33</v>
      </c>
      <c r="G8" s="16" t="s">
        <v>34</v>
      </c>
      <c r="I8" s="14"/>
    </row>
    <row r="9" spans="2:11" ht="12.75" x14ac:dyDescent="0.15">
      <c r="B9" s="63" t="s">
        <v>13</v>
      </c>
      <c r="C9" s="64"/>
      <c r="D9" s="16" t="s">
        <v>36</v>
      </c>
      <c r="E9" s="10"/>
      <c r="F9" s="15" t="s">
        <v>31</v>
      </c>
      <c r="G9" s="51"/>
      <c r="H9" s="50" t="s">
        <v>17</v>
      </c>
      <c r="I9" s="52"/>
      <c r="K9" s="9"/>
    </row>
    <row r="10" spans="2:11" ht="12.75" x14ac:dyDescent="0.15">
      <c r="B10" s="65" t="s">
        <v>14</v>
      </c>
      <c r="C10" s="66"/>
      <c r="D10" s="17" t="s">
        <v>38</v>
      </c>
      <c r="E10" s="18"/>
      <c r="F10" s="30"/>
      <c r="G10" s="31"/>
      <c r="H10" s="19" t="s">
        <v>18</v>
      </c>
      <c r="I10" s="53"/>
      <c r="K10" s="9"/>
    </row>
    <row r="11" spans="2:11" ht="12.75" x14ac:dyDescent="0.15">
      <c r="B11" s="10"/>
      <c r="C11" s="10"/>
      <c r="D11" s="10"/>
      <c r="E11" s="10"/>
      <c r="F11" s="10"/>
      <c r="G11" s="10"/>
      <c r="H11" s="10"/>
      <c r="I11" s="10"/>
    </row>
    <row r="12" spans="2:11" ht="12.75" x14ac:dyDescent="0.15">
      <c r="B12" s="69" t="s">
        <v>23</v>
      </c>
      <c r="C12" s="72"/>
      <c r="D12" s="72"/>
      <c r="E12" s="72"/>
      <c r="F12" s="72"/>
      <c r="G12" s="72"/>
      <c r="H12" s="72"/>
      <c r="I12" s="73"/>
    </row>
    <row r="13" spans="2:11" ht="12.75" x14ac:dyDescent="0.15">
      <c r="B13" s="29"/>
      <c r="C13" s="10" t="s">
        <v>30</v>
      </c>
      <c r="D13" s="49">
        <f>D14+273</f>
        <v>307</v>
      </c>
      <c r="E13" s="10"/>
      <c r="F13" s="64"/>
      <c r="G13" s="64"/>
      <c r="H13" s="39"/>
      <c r="I13" s="14"/>
    </row>
    <row r="14" spans="2:11" ht="12.75" x14ac:dyDescent="0.15">
      <c r="B14" s="30"/>
      <c r="C14" s="18" t="s">
        <v>29</v>
      </c>
      <c r="D14" s="40">
        <v>34</v>
      </c>
      <c r="E14" s="18"/>
      <c r="F14" s="66" t="s">
        <v>5</v>
      </c>
      <c r="G14" s="66"/>
      <c r="H14" s="40">
        <v>756</v>
      </c>
      <c r="I14" s="20"/>
    </row>
    <row r="15" spans="2:11" ht="12.75" x14ac:dyDescent="0.15">
      <c r="B15" s="10"/>
      <c r="C15" s="10"/>
      <c r="D15" s="10"/>
      <c r="E15" s="10"/>
      <c r="F15" s="10"/>
      <c r="G15" s="10"/>
      <c r="H15" s="10"/>
      <c r="I15" s="10"/>
    </row>
    <row r="16" spans="2:11" ht="12.75" x14ac:dyDescent="0.15">
      <c r="B16" s="69" t="s">
        <v>24</v>
      </c>
      <c r="C16" s="72"/>
      <c r="D16" s="72"/>
      <c r="E16" s="72"/>
      <c r="F16" s="72"/>
      <c r="G16" s="72"/>
      <c r="H16" s="72"/>
      <c r="I16" s="73"/>
    </row>
    <row r="17" spans="1:10" ht="14.25" x14ac:dyDescent="0.15">
      <c r="B17" s="23" t="s">
        <v>10</v>
      </c>
      <c r="C17" s="24" t="s">
        <v>15</v>
      </c>
      <c r="D17" s="24" t="s">
        <v>6</v>
      </c>
      <c r="E17" s="24" t="s">
        <v>22</v>
      </c>
      <c r="F17" s="24" t="s">
        <v>28</v>
      </c>
      <c r="G17" s="67" t="s">
        <v>3</v>
      </c>
      <c r="H17" s="24" t="s">
        <v>7</v>
      </c>
      <c r="I17" s="25" t="s">
        <v>9</v>
      </c>
    </row>
    <row r="18" spans="1:10" ht="15" x14ac:dyDescent="0.15">
      <c r="B18" s="34" t="s">
        <v>8</v>
      </c>
      <c r="C18" s="35" t="s">
        <v>27</v>
      </c>
      <c r="D18" s="35" t="s">
        <v>26</v>
      </c>
      <c r="E18" s="35" t="s">
        <v>27</v>
      </c>
      <c r="F18" s="35" t="s">
        <v>2</v>
      </c>
      <c r="G18" s="68"/>
      <c r="H18" s="35" t="s">
        <v>26</v>
      </c>
      <c r="I18" s="38" t="s">
        <v>4</v>
      </c>
    </row>
    <row r="19" spans="1:10" ht="12.75" x14ac:dyDescent="0.15">
      <c r="B19" s="32">
        <v>1</v>
      </c>
      <c r="C19" s="39"/>
      <c r="D19" s="45" t="e">
        <f>1/I9*(SQRT(C19*(D13/H14))-I10)</f>
        <v>#DIV/0!</v>
      </c>
      <c r="E19" s="41"/>
      <c r="F19" s="47">
        <f>(E19/13.61)*25.4</f>
        <v>0</v>
      </c>
      <c r="G19" s="45">
        <f>1-F19/H14</f>
        <v>1</v>
      </c>
      <c r="H19" s="26"/>
      <c r="I19" s="43" t="e">
        <f>ROUND(H19-D19,3)/D19*100</f>
        <v>#DIV/0!</v>
      </c>
    </row>
    <row r="20" spans="1:10" ht="12.75" x14ac:dyDescent="0.15">
      <c r="B20" s="32">
        <v>2</v>
      </c>
      <c r="C20" s="39"/>
      <c r="D20" s="45" t="e">
        <f>1/I9*(SQRT(C20*(D13/H14))-I10)</f>
        <v>#DIV/0!</v>
      </c>
      <c r="E20" s="41"/>
      <c r="F20" s="47">
        <f>(E20/13.61)*25.4</f>
        <v>0</v>
      </c>
      <c r="G20" s="45">
        <f>1-F20/H14</f>
        <v>1</v>
      </c>
      <c r="H20" s="26"/>
      <c r="I20" s="43" t="e">
        <f>((H20-D20)/D20)*100</f>
        <v>#DIV/0!</v>
      </c>
    </row>
    <row r="21" spans="1:10" ht="12.75" x14ac:dyDescent="0.15">
      <c r="B21" s="32">
        <v>3</v>
      </c>
      <c r="C21" s="39"/>
      <c r="D21" s="45" t="e">
        <f>1/I9*(SQRT(C21*(D13/H14))-I10)</f>
        <v>#DIV/0!</v>
      </c>
      <c r="E21" s="41"/>
      <c r="F21" s="47">
        <f>(E21/13.61)*25.4</f>
        <v>0</v>
      </c>
      <c r="G21" s="45">
        <f>1-F21/H14</f>
        <v>1</v>
      </c>
      <c r="H21" s="26"/>
      <c r="I21" s="43" t="e">
        <f>(H21-D21)/D21*100</f>
        <v>#DIV/0!</v>
      </c>
    </row>
    <row r="22" spans="1:10" ht="12.75" x14ac:dyDescent="0.15">
      <c r="B22" s="32">
        <v>4</v>
      </c>
      <c r="C22" s="39"/>
      <c r="D22" s="45" t="e">
        <f>1/I9*(SQRT(C22*(D13/H14))-I10)</f>
        <v>#DIV/0!</v>
      </c>
      <c r="E22" s="41"/>
      <c r="F22" s="47">
        <f>(E22/13.61)*25.4</f>
        <v>0</v>
      </c>
      <c r="G22" s="45">
        <f>1-F22/H14</f>
        <v>1</v>
      </c>
      <c r="H22" s="26"/>
      <c r="I22" s="43" t="e">
        <f>ROUND(H22-D22,3)/D22*100</f>
        <v>#DIV/0!</v>
      </c>
    </row>
    <row r="23" spans="1:10" ht="12.75" x14ac:dyDescent="0.15">
      <c r="B23" s="33">
        <v>5</v>
      </c>
      <c r="C23" s="40"/>
      <c r="D23" s="46" t="e">
        <f>1/I9*(SQRT(C23*(D13/H14))-I10)</f>
        <v>#DIV/0!</v>
      </c>
      <c r="E23" s="42"/>
      <c r="F23" s="48">
        <f>(E23/13.61)*25.4</f>
        <v>0</v>
      </c>
      <c r="G23" s="46">
        <f>1-F23/H14</f>
        <v>1</v>
      </c>
      <c r="H23" s="27"/>
      <c r="I23" s="44" t="e">
        <f>ROUND(H23-D23,3)/D23*100</f>
        <v>#DIV/0!</v>
      </c>
    </row>
    <row r="24" spans="1:10" ht="12.75" x14ac:dyDescent="0.15">
      <c r="A24" s="10"/>
      <c r="B24" s="10"/>
      <c r="C24" s="10"/>
      <c r="D24" s="10"/>
      <c r="E24" s="10"/>
      <c r="F24" s="10"/>
      <c r="G24" s="10"/>
      <c r="H24" s="10"/>
      <c r="I24" s="10"/>
    </row>
    <row r="25" spans="1:10" ht="12.75" x14ac:dyDescent="0.15">
      <c r="B25" s="69" t="s">
        <v>25</v>
      </c>
      <c r="C25" s="70"/>
      <c r="D25" s="70"/>
      <c r="E25" s="70"/>
      <c r="F25" s="70"/>
      <c r="G25" s="70"/>
      <c r="H25" s="70"/>
      <c r="I25" s="71"/>
    </row>
    <row r="26" spans="1:10" ht="12.75" x14ac:dyDescent="0.15">
      <c r="A26" s="10"/>
      <c r="B26" s="11"/>
      <c r="C26" s="12"/>
      <c r="D26" s="12"/>
      <c r="E26" s="12"/>
      <c r="F26" s="12"/>
      <c r="G26" s="12"/>
      <c r="H26" s="12"/>
      <c r="I26" s="13"/>
    </row>
    <row r="27" spans="1:10" ht="12.75" x14ac:dyDescent="0.15">
      <c r="B27" s="74" t="s">
        <v>19</v>
      </c>
      <c r="C27" s="68"/>
      <c r="D27" s="68"/>
      <c r="E27" s="68"/>
      <c r="F27" s="68"/>
      <c r="G27" s="68"/>
      <c r="H27" s="68"/>
      <c r="I27" s="75"/>
    </row>
    <row r="28" spans="1:10" ht="12.75" x14ac:dyDescent="0.15">
      <c r="B28" s="74" t="s">
        <v>40</v>
      </c>
      <c r="C28" s="68"/>
      <c r="D28" s="68"/>
      <c r="E28" s="68"/>
      <c r="F28" s="68"/>
      <c r="G28" s="68"/>
      <c r="H28" s="68"/>
      <c r="I28" s="75"/>
    </row>
    <row r="29" spans="1:10" ht="12.75" x14ac:dyDescent="0.15">
      <c r="B29" s="74" t="s">
        <v>11</v>
      </c>
      <c r="C29" s="68"/>
      <c r="D29" s="68"/>
      <c r="E29" s="68"/>
      <c r="F29" s="68"/>
      <c r="G29" s="68"/>
      <c r="H29" s="68"/>
      <c r="I29" s="75"/>
    </row>
    <row r="30" spans="1:10" ht="12.75" x14ac:dyDescent="0.15">
      <c r="B30" s="74" t="s">
        <v>20</v>
      </c>
      <c r="C30" s="68"/>
      <c r="D30" s="68"/>
      <c r="E30" s="68"/>
      <c r="F30" s="68"/>
      <c r="G30" s="68"/>
      <c r="H30" s="68"/>
      <c r="I30" s="75"/>
    </row>
    <row r="31" spans="1:10" ht="12.75" x14ac:dyDescent="0.15">
      <c r="B31" s="58" t="s">
        <v>35</v>
      </c>
      <c r="C31" s="59"/>
      <c r="D31" s="59"/>
      <c r="E31" s="59"/>
      <c r="F31" s="59"/>
      <c r="G31" s="59"/>
      <c r="H31" s="59"/>
      <c r="I31" s="60"/>
    </row>
    <row r="32" spans="1:10" ht="15.75" thickBot="1" x14ac:dyDescent="0.3">
      <c r="B32" s="54"/>
      <c r="C32" s="54"/>
      <c r="D32" s="54"/>
      <c r="E32" s="55"/>
      <c r="F32" s="55"/>
      <c r="G32" s="54"/>
      <c r="H32" s="54"/>
      <c r="I32" s="54"/>
      <c r="J32" s="54"/>
    </row>
    <row r="33" spans="1:10" ht="15" x14ac:dyDescent="0.25">
      <c r="A33" s="10"/>
      <c r="B33" s="57" t="s">
        <v>41</v>
      </c>
      <c r="C33" s="57"/>
      <c r="D33" s="57"/>
      <c r="E33" s="57"/>
      <c r="F33" s="55"/>
      <c r="G33" s="56" t="s">
        <v>42</v>
      </c>
      <c r="H33" s="56"/>
      <c r="I33" s="56"/>
      <c r="J33" s="55"/>
    </row>
    <row r="34" spans="1:10" ht="12.75" x14ac:dyDescent="0.15">
      <c r="A34" s="10"/>
      <c r="B34" s="10"/>
      <c r="C34" s="28" t="s">
        <v>1</v>
      </c>
      <c r="D34" s="10"/>
      <c r="E34" s="10"/>
      <c r="F34" s="10"/>
      <c r="G34" s="10"/>
      <c r="H34" s="10"/>
      <c r="I34" s="10"/>
    </row>
    <row r="36" spans="1:10" x14ac:dyDescent="0.15">
      <c r="C36" s="2" t="s">
        <v>1</v>
      </c>
    </row>
    <row r="37" spans="1:10" x14ac:dyDescent="0.15">
      <c r="A37" s="2"/>
      <c r="B37" s="2"/>
    </row>
    <row r="47" spans="1:10" x14ac:dyDescent="0.15">
      <c r="E47" s="3"/>
      <c r="J47" s="3"/>
    </row>
    <row r="48" spans="1:10" x14ac:dyDescent="0.15">
      <c r="E48" s="3"/>
      <c r="J48" s="3"/>
    </row>
    <row r="49" spans="3:15" x14ac:dyDescent="0.15">
      <c r="E49" s="3"/>
      <c r="J49" s="3"/>
    </row>
    <row r="50" spans="3:15" x14ac:dyDescent="0.15">
      <c r="E50" s="3"/>
      <c r="J50" s="4"/>
      <c r="O50" s="5"/>
    </row>
    <row r="51" spans="3:15" x14ac:dyDescent="0.15">
      <c r="E51" s="3"/>
      <c r="J51" s="4"/>
      <c r="O51" s="5"/>
    </row>
    <row r="55" spans="3:15" x14ac:dyDescent="0.15">
      <c r="F55" s="6"/>
      <c r="J55" s="6"/>
    </row>
    <row r="56" spans="3:15" x14ac:dyDescent="0.15">
      <c r="F56" s="5"/>
      <c r="J56" s="3"/>
    </row>
    <row r="57" spans="3:15" x14ac:dyDescent="0.15">
      <c r="F57" s="5"/>
      <c r="J57" s="5"/>
      <c r="L57" s="7"/>
      <c r="M57" s="7"/>
      <c r="N57" s="7"/>
      <c r="O57" s="7"/>
    </row>
    <row r="58" spans="3:15" x14ac:dyDescent="0.15">
      <c r="L58" s="7"/>
      <c r="M58" s="7"/>
      <c r="N58" s="7"/>
      <c r="O58" s="7"/>
    </row>
    <row r="59" spans="3:15" x14ac:dyDescent="0.15">
      <c r="L59" s="7"/>
      <c r="M59" s="7"/>
      <c r="N59" s="7"/>
      <c r="O59" s="7"/>
    </row>
    <row r="64" spans="3:15" x14ac:dyDescent="0.15">
      <c r="C64" s="3"/>
      <c r="D64" s="7"/>
      <c r="E64" s="3"/>
      <c r="G64" s="7"/>
      <c r="H64" s="8"/>
      <c r="J64" s="7"/>
    </row>
    <row r="67" spans="5:7" x14ac:dyDescent="0.15">
      <c r="E67" s="7"/>
      <c r="G67" s="7"/>
    </row>
  </sheetData>
  <mergeCells count="21">
    <mergeCell ref="D8:E8"/>
    <mergeCell ref="B2:C6"/>
    <mergeCell ref="D2:G6"/>
    <mergeCell ref="H2:I6"/>
    <mergeCell ref="B28:I28"/>
    <mergeCell ref="B33:E33"/>
    <mergeCell ref="B31:I31"/>
    <mergeCell ref="B7:C7"/>
    <mergeCell ref="B8:C8"/>
    <mergeCell ref="B9:C9"/>
    <mergeCell ref="B10:C10"/>
    <mergeCell ref="G17:G18"/>
    <mergeCell ref="F14:G14"/>
    <mergeCell ref="B25:I25"/>
    <mergeCell ref="B16:I16"/>
    <mergeCell ref="B27:I27"/>
    <mergeCell ref="B29:I29"/>
    <mergeCell ref="F13:G13"/>
    <mergeCell ref="B30:I30"/>
    <mergeCell ref="B12:I12"/>
    <mergeCell ref="D7:E7"/>
  </mergeCells>
  <pageMargins left="0.75" right="0.75" top="1" bottom="1" header="0.5" footer="0.5"/>
  <pageSetup orientation="portrait" r:id="rId1"/>
  <headerFooter alignWithMargins="0"/>
  <colBreaks count="1" manualBreakCount="1">
    <brk id="9" max="3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PM10-0XX (Nombre del punto)</vt:lpstr>
      <vt:lpstr>'PM10-0XX (Nombre del punto)'!Área_de_impresión</vt:lpstr>
      <vt:lpstr>'PM10-0XX (Nombre del punto)'!Print_Area_MI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Jhoana Mendoza</cp:lastModifiedBy>
  <cp:lastPrinted>2005-02-23T16:04:02Z</cp:lastPrinted>
  <dcterms:created xsi:type="dcterms:W3CDTF">2005-02-10T13:49:20Z</dcterms:created>
  <dcterms:modified xsi:type="dcterms:W3CDTF">2023-08-27T23:29:25Z</dcterms:modified>
</cp:coreProperties>
</file>