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oana.mendoza\Downloads\formtos dt\OPERACIONES\"/>
    </mc:Choice>
  </mc:AlternateContent>
  <xr:revisionPtr revIDLastSave="0" documentId="13_ncr:1_{2EA34E7A-A537-4838-AE12-C23E1F8529E3}" xr6:coauthVersionLast="47" xr6:coauthVersionMax="47" xr10:uidLastSave="{00000000-0000-0000-0000-000000000000}"/>
  <bookViews>
    <workbookView xWindow="-120" yWindow="-120" windowWidth="20730" windowHeight="11160" tabRatio="661" xr2:uid="{00000000-000D-0000-FFFF-FFFF00000000}"/>
  </bookViews>
  <sheets>
    <sheet name="Ejemplo" sheetId="23" r:id="rId1"/>
  </sheets>
  <definedNames>
    <definedName name="__123Graph_A" localSheetId="0" hidden="1">Ejemplo!$F$24:$F$28</definedName>
    <definedName name="__123Graph_A" hidden="1">#REF!</definedName>
    <definedName name="__123Graph_X" localSheetId="0" hidden="1">Ejemplo!$D$24:$D$28</definedName>
    <definedName name="__123Graph_X" hidden="1">#REF!</definedName>
    <definedName name="_Regression_Int" localSheetId="0" hidden="1">1</definedName>
    <definedName name="_Regression_Out" localSheetId="0" hidden="1">Ejemplo!#REF!</definedName>
    <definedName name="_Regression_Out" hidden="1">#REF!</definedName>
    <definedName name="_Regression_X" localSheetId="0" hidden="1">Ejemplo!$D$24:$D$28</definedName>
    <definedName name="_Regression_X" hidden="1">#REF!</definedName>
    <definedName name="_Regression_Y" localSheetId="0" hidden="1">Ejemplo!$F$24:$F$28</definedName>
    <definedName name="_Regression_Y" hidden="1">#REF!</definedName>
    <definedName name="_xlnm.Print_Area" localSheetId="0">Ejemplo!$A$1:$J$43</definedName>
    <definedName name="Print_Area_MI" localSheetId="0">Ejemplo!$B$2:$I$52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23" l="1"/>
  <c r="D25" i="23" s="1"/>
  <c r="L25" i="23" s="1"/>
  <c r="I14" i="23"/>
  <c r="D28" i="23" l="1"/>
  <c r="L28" i="23" s="1"/>
  <c r="D27" i="23"/>
  <c r="L27" i="23" s="1"/>
  <c r="D26" i="23"/>
  <c r="L26" i="23" s="1"/>
  <c r="F28" i="23"/>
  <c r="F27" i="23"/>
  <c r="F26" i="23"/>
  <c r="F25" i="23"/>
  <c r="F24" i="23"/>
  <c r="D24" i="23"/>
  <c r="L24" i="23" l="1"/>
  <c r="H25" i="23"/>
  <c r="H24" i="23"/>
  <c r="H26" i="23"/>
  <c r="M24" i="23" s="1"/>
  <c r="O23" i="23" s="1"/>
</calcChain>
</file>

<file path=xl/sharedStrings.xml><?xml version="1.0" encoding="utf-8"?>
<sst xmlns="http://schemas.openxmlformats.org/spreadsheetml/2006/main" count="69" uniqueCount="57">
  <si>
    <t>Ta = actual temperature during calibration (deg K)</t>
  </si>
  <si>
    <t>Tstd = 298 deg K</t>
  </si>
  <si>
    <t>Pstd = 760 mm Hg</t>
  </si>
  <si>
    <t>1/m((I)[Sqrt(298/Tav)(Pav/760)]-b)</t>
  </si>
  <si>
    <t>m   = sampler slope</t>
  </si>
  <si>
    <t>b   = sampler intercept</t>
  </si>
  <si>
    <t>Serial#:</t>
  </si>
  <si>
    <t>CALIBRADOR</t>
  </si>
  <si>
    <t>CONDICIONES</t>
  </si>
  <si>
    <t xml:space="preserve">  m=</t>
  </si>
  <si>
    <t>b=</t>
  </si>
  <si>
    <t>r=</t>
  </si>
  <si>
    <t>Lugar:</t>
  </si>
  <si>
    <t>Muestreador:</t>
  </si>
  <si>
    <t>Fecha:</t>
  </si>
  <si>
    <t>Encargado:</t>
  </si>
  <si>
    <t>Fabricante:</t>
  </si>
  <si>
    <t>Modelo:</t>
  </si>
  <si>
    <t>b calibrador:</t>
  </si>
  <si>
    <t>m calibrador:</t>
  </si>
  <si>
    <t>Prueba #</t>
  </si>
  <si>
    <t># de Observaciones:</t>
  </si>
  <si>
    <t>Qstd = taza de flujo estandar</t>
  </si>
  <si>
    <t>I = respuesta de carta actual</t>
  </si>
  <si>
    <t>I   = Respuesta de carta</t>
  </si>
  <si>
    <t>Tav = promedio de temperatura diario</t>
  </si>
  <si>
    <t>Pav = promedio de presion diario</t>
  </si>
  <si>
    <t>m  = pendiente de Qstd de calibrador</t>
  </si>
  <si>
    <t>b  = intercepto de Qstd de calibrador</t>
  </si>
  <si>
    <t>Pa = presion actual durante la calibracion (mm Hg)</t>
  </si>
  <si>
    <t>Flujo total de muestreador:</t>
  </si>
  <si>
    <t>(in)</t>
  </si>
  <si>
    <t>Qstd</t>
  </si>
  <si>
    <t>I</t>
  </si>
  <si>
    <t>(carta)</t>
  </si>
  <si>
    <t>(corregido)</t>
  </si>
  <si>
    <t>VERIFICACIÓN</t>
  </si>
  <si>
    <t>CÁLCULOS</t>
  </si>
  <si>
    <t>HOJA DE CALCULO VERIFICACIÓN TPS</t>
  </si>
  <si>
    <t>Pa (mm Hg):</t>
  </si>
  <si>
    <t>Temperatura (°C):</t>
  </si>
  <si>
    <t>Ta (deg K):</t>
  </si>
  <si>
    <t>Temperatura promedio (°C):</t>
  </si>
  <si>
    <t>Ps (mm Hg):</t>
  </si>
  <si>
    <t>Ts (deg K):</t>
  </si>
  <si>
    <t>Diligenciar</t>
  </si>
  <si>
    <t>FLUJOS</t>
  </si>
  <si>
    <t>CORRELACION</t>
  </si>
  <si>
    <r>
      <t>H</t>
    </r>
    <r>
      <rPr>
        <vertAlign val="subscript"/>
        <sz val="10"/>
        <rFont val="Avenir Next LT Pro Demi"/>
        <family val="2"/>
      </rPr>
      <t>2</t>
    </r>
    <r>
      <rPr>
        <sz val="10"/>
        <rFont val="Avenir Next LT Pro Demi"/>
        <family val="2"/>
      </rPr>
      <t>O</t>
    </r>
  </si>
  <si>
    <r>
      <t>I</t>
    </r>
    <r>
      <rPr>
        <vertAlign val="subscript"/>
        <sz val="10"/>
        <rFont val="Avenir Next LT Pro Demi"/>
        <family val="2"/>
      </rPr>
      <t>C</t>
    </r>
  </si>
  <si>
    <r>
      <t>(m</t>
    </r>
    <r>
      <rPr>
        <vertAlign val="superscript"/>
        <sz val="10"/>
        <rFont val="Avenir Next LT Pro Demi"/>
        <family val="2"/>
      </rPr>
      <t>3</t>
    </r>
    <r>
      <rPr>
        <sz val="10"/>
        <rFont val="Avenir Next LT Pro Demi"/>
        <family val="2"/>
      </rPr>
      <t>/min)</t>
    </r>
  </si>
  <si>
    <r>
      <t>Qstd = 1/m[Sqrt(H</t>
    </r>
    <r>
      <rPr>
        <vertAlign val="subscript"/>
        <sz val="9"/>
        <rFont val="Avenir Next LT Pro Demi"/>
        <family val="2"/>
      </rPr>
      <t>2</t>
    </r>
    <r>
      <rPr>
        <sz val="9"/>
        <rFont val="Avenir Next LT Pro Demi"/>
        <family val="2"/>
      </rPr>
      <t>O(Pa/Pstd)(Tstd/Ta))-b]</t>
    </r>
  </si>
  <si>
    <r>
      <t>I</t>
    </r>
    <r>
      <rPr>
        <vertAlign val="subscript"/>
        <sz val="9"/>
        <rFont val="Avenir Next LT Pro Demi"/>
        <family val="2"/>
      </rPr>
      <t>C</t>
    </r>
    <r>
      <rPr>
        <sz val="9"/>
        <rFont val="Avenir Next LT Pro Demi"/>
        <family val="2"/>
      </rPr>
      <t xml:space="preserve"> = I[Sqrt(Pa/Pstd)(Tstd/Ta)]</t>
    </r>
  </si>
  <si>
    <r>
      <t>I</t>
    </r>
    <r>
      <rPr>
        <vertAlign val="subscript"/>
        <sz val="9"/>
        <rFont val="Avenir Next LT Pro Demi"/>
        <family val="2"/>
      </rPr>
      <t>C</t>
    </r>
    <r>
      <rPr>
        <sz val="9"/>
        <rFont val="Avenir Next LT Pro Demi"/>
        <family val="2"/>
      </rPr>
      <t xml:space="preserve"> = respuesta de carta corregida</t>
    </r>
  </si>
  <si>
    <t>Nombre / Firma Ingeniero Responsable</t>
  </si>
  <si>
    <t>Nombre / Firma Aprobador</t>
  </si>
  <si>
    <t>Código: FO-PO-PSM-03-04
Versión: 03
Fecha: 26/08/2023
Página: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</si>
</sst>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_)"/>
    <numFmt numFmtId="166" formatCode="0.000_)"/>
    <numFmt numFmtId="167" formatCode="0.0_)"/>
    <numFmt numFmtId="168" formatCode="0.0000"/>
    <numFmt numFmtId="169" formatCode="mmm\ d\,\ yyyy"/>
    <numFmt numFmtId="170" formatCode="0.000"/>
    <numFmt numFmtId="171" formatCode="0.00000_)"/>
    <numFmt numFmtId="172" formatCode="0.0000_)"/>
  </numFmts>
  <fonts count="18" x14ac:knownFonts="1">
    <font>
      <sz val="10"/>
      <name val="Courie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sz val="12"/>
      <name val="Times New Roman"/>
      <family val="1"/>
    </font>
    <font>
      <sz val="10"/>
      <name val="Courier"/>
      <family val="3"/>
    </font>
    <font>
      <b/>
      <sz val="18"/>
      <name val="Courier"/>
      <family val="3"/>
    </font>
    <font>
      <b/>
      <sz val="10"/>
      <name val="Avenir Next LT Pro Demi"/>
      <family val="2"/>
    </font>
    <font>
      <sz val="10"/>
      <name val="Avenir Next LT Pro Demi"/>
      <family val="2"/>
    </font>
    <font>
      <sz val="10"/>
      <color indexed="12"/>
      <name val="Avenir Next LT Pro Demi"/>
      <family val="2"/>
    </font>
    <font>
      <vertAlign val="subscript"/>
      <sz val="10"/>
      <name val="Avenir Next LT Pro Demi"/>
      <family val="2"/>
    </font>
    <font>
      <vertAlign val="superscript"/>
      <sz val="10"/>
      <name val="Avenir Next LT Pro Demi"/>
      <family val="2"/>
    </font>
    <font>
      <b/>
      <sz val="10"/>
      <color rgb="FFFF0000"/>
      <name val="Avenir Next LT Pro Demi"/>
      <family val="2"/>
    </font>
    <font>
      <sz val="9"/>
      <name val="Avenir Next LT Pro Demi"/>
      <family val="2"/>
    </font>
    <font>
      <vertAlign val="subscript"/>
      <sz val="9"/>
      <name val="Avenir Next LT Pro Demi"/>
      <family val="2"/>
    </font>
    <font>
      <sz val="9"/>
      <color rgb="FFFF0000"/>
      <name val="Avenir Next LT Pro Demi"/>
      <family val="2"/>
    </font>
    <font>
      <sz val="11"/>
      <name val="Avenir Next LT Pro"/>
      <family val="2"/>
    </font>
    <font>
      <sz val="10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5" fillId="0" borderId="0"/>
  </cellStyleXfs>
  <cellXfs count="105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170" fontId="2" fillId="0" borderId="0" xfId="0" applyNumberFormat="1" applyFont="1" applyAlignment="1" applyProtection="1">
      <alignment vertical="center"/>
      <protection hidden="1"/>
    </xf>
    <xf numFmtId="1" fontId="3" fillId="0" borderId="0" xfId="0" applyNumberFormat="1" applyFont="1" applyAlignment="1" applyProtection="1">
      <alignment vertical="center"/>
      <protection hidden="1"/>
    </xf>
    <xf numFmtId="0" fontId="0" fillId="0" borderId="0" xfId="0" applyProtection="1">
      <protection hidden="1"/>
    </xf>
    <xf numFmtId="172" fontId="0" fillId="0" borderId="0" xfId="0" applyNumberFormat="1" applyProtection="1">
      <protection hidden="1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right" vertical="center"/>
      <protection hidden="1"/>
    </xf>
    <xf numFmtId="0" fontId="9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vertical="center"/>
      <protection hidden="1"/>
    </xf>
    <xf numFmtId="169" fontId="9" fillId="0" borderId="0" xfId="0" applyNumberFormat="1" applyFont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vertical="center"/>
      <protection hidden="1"/>
    </xf>
    <xf numFmtId="0" fontId="8" fillId="0" borderId="2" xfId="0" applyFont="1" applyBorder="1" applyAlignment="1" applyProtection="1">
      <alignment horizontal="right" vertical="center"/>
      <protection hidden="1"/>
    </xf>
    <xf numFmtId="0" fontId="9" fillId="0" borderId="2" xfId="0" applyFont="1" applyBorder="1" applyAlignment="1" applyProtection="1">
      <alignment horizontal="left" vertical="center"/>
      <protection locked="0"/>
    </xf>
    <xf numFmtId="0" fontId="8" fillId="0" borderId="2" xfId="0" applyFont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fill" vertical="center"/>
      <protection hidden="1"/>
    </xf>
    <xf numFmtId="164" fontId="9" fillId="0" borderId="7" xfId="0" applyNumberFormat="1" applyFont="1" applyBorder="1" applyAlignment="1" applyProtection="1">
      <alignment vertical="center"/>
      <protection hidden="1"/>
    </xf>
    <xf numFmtId="165" fontId="9" fillId="0" borderId="8" xfId="0" applyNumberFormat="1" applyFont="1" applyBorder="1" applyAlignment="1" applyProtection="1">
      <alignment horizontal="center" vertical="center"/>
      <protection locked="0"/>
    </xf>
    <xf numFmtId="165" fontId="9" fillId="0" borderId="0" xfId="0" applyNumberFormat="1" applyFont="1" applyAlignment="1" applyProtection="1">
      <alignment horizontal="center" vertical="center"/>
      <protection locked="0"/>
    </xf>
    <xf numFmtId="165" fontId="8" fillId="0" borderId="1" xfId="0" applyNumberFormat="1" applyFont="1" applyBorder="1" applyAlignment="1" applyProtection="1">
      <alignment horizontal="center" vertical="center"/>
      <protection hidden="1"/>
    </xf>
    <xf numFmtId="165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5" xfId="0" applyFont="1" applyBorder="1" applyProtection="1">
      <protection locked="0"/>
    </xf>
    <xf numFmtId="0" fontId="8" fillId="0" borderId="2" xfId="0" applyFont="1" applyBorder="1" applyProtection="1">
      <protection locked="0"/>
    </xf>
    <xf numFmtId="165" fontId="8" fillId="0" borderId="3" xfId="0" applyNumberFormat="1" applyFont="1" applyBorder="1" applyAlignment="1" applyProtection="1">
      <alignment horizontal="center" vertical="center"/>
      <protection hidden="1"/>
    </xf>
    <xf numFmtId="0" fontId="8" fillId="0" borderId="6" xfId="0" applyFont="1" applyBorder="1" applyAlignment="1" applyProtection="1">
      <alignment vertical="center"/>
      <protection hidden="1"/>
    </xf>
    <xf numFmtId="0" fontId="8" fillId="0" borderId="7" xfId="0" applyFont="1" applyBorder="1" applyAlignment="1" applyProtection="1">
      <alignment horizontal="center" vertical="center"/>
      <protection hidden="1"/>
    </xf>
    <xf numFmtId="165" fontId="9" fillId="0" borderId="7" xfId="0" applyNumberFormat="1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vertical="center"/>
      <protection locked="0"/>
    </xf>
    <xf numFmtId="171" fontId="9" fillId="0" borderId="7" xfId="0" applyNumberFormat="1" applyFont="1" applyBorder="1" applyAlignment="1">
      <alignment horizontal="center" vertical="center"/>
    </xf>
    <xf numFmtId="0" fontId="8" fillId="0" borderId="8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locked="0"/>
    </xf>
    <xf numFmtId="171" fontId="9" fillId="0" borderId="0" xfId="0" applyNumberFormat="1" applyFont="1" applyAlignment="1">
      <alignment horizontal="center" vertical="center"/>
    </xf>
    <xf numFmtId="0" fontId="8" fillId="0" borderId="5" xfId="0" applyFont="1" applyBorder="1" applyAlignment="1" applyProtection="1">
      <alignment vertical="center"/>
      <protection hidden="1"/>
    </xf>
    <xf numFmtId="0" fontId="8" fillId="0" borderId="2" xfId="0" applyFont="1" applyBorder="1" applyAlignment="1" applyProtection="1">
      <alignment horizontal="center" vertical="center"/>
      <protection hidden="1"/>
    </xf>
    <xf numFmtId="165" fontId="9" fillId="0" borderId="2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left" vertical="center"/>
      <protection hidden="1"/>
    </xf>
    <xf numFmtId="0" fontId="8" fillId="0" borderId="7" xfId="0" applyFont="1" applyBorder="1" applyAlignment="1" applyProtection="1">
      <alignment vertical="center"/>
      <protection hidden="1"/>
    </xf>
    <xf numFmtId="0" fontId="8" fillId="0" borderId="7" xfId="0" applyFont="1" applyBorder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9" fillId="0" borderId="4" xfId="0" applyFont="1" applyBorder="1" applyAlignment="1" applyProtection="1">
      <alignment horizontal="center" vertical="center"/>
      <protection locked="0"/>
    </xf>
    <xf numFmtId="164" fontId="9" fillId="0" borderId="0" xfId="1" applyFont="1" applyAlignment="1" applyProtection="1">
      <alignment horizontal="center" vertical="center"/>
      <protection locked="0"/>
    </xf>
    <xf numFmtId="166" fontId="8" fillId="0" borderId="0" xfId="0" applyNumberFormat="1" applyFont="1" applyAlignment="1" applyProtection="1">
      <alignment horizontal="center" vertical="center"/>
      <protection hidden="1"/>
    </xf>
    <xf numFmtId="167" fontId="9" fillId="0" borderId="0" xfId="1" applyNumberFormat="1" applyFont="1" applyAlignment="1" applyProtection="1">
      <alignment horizontal="center" vertical="center"/>
      <protection locked="0"/>
    </xf>
    <xf numFmtId="164" fontId="8" fillId="0" borderId="0" xfId="0" applyNumberFormat="1" applyFont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right" vertical="center"/>
      <protection hidden="1"/>
    </xf>
    <xf numFmtId="168" fontId="7" fillId="0" borderId="0" xfId="0" applyNumberFormat="1" applyFont="1" applyAlignment="1" applyProtection="1">
      <alignment vertical="center"/>
      <protection hidden="1"/>
    </xf>
    <xf numFmtId="0" fontId="8" fillId="0" borderId="1" xfId="0" applyFont="1" applyBorder="1" applyAlignment="1" applyProtection="1">
      <alignment vertical="center"/>
      <protection locked="0"/>
    </xf>
    <xf numFmtId="166" fontId="9" fillId="0" borderId="1" xfId="0" applyNumberFormat="1" applyFont="1" applyBorder="1" applyAlignment="1" applyProtection="1">
      <alignment vertical="center"/>
      <protection hidden="1"/>
    </xf>
    <xf numFmtId="0" fontId="9" fillId="0" borderId="5" xfId="0" applyFont="1" applyBorder="1" applyAlignment="1" applyProtection="1">
      <alignment horizontal="center" vertical="center"/>
      <protection locked="0"/>
    </xf>
    <xf numFmtId="164" fontId="9" fillId="0" borderId="2" xfId="1" applyFont="1" applyBorder="1" applyAlignment="1" applyProtection="1">
      <alignment horizontal="center" vertical="center"/>
      <protection locked="0"/>
    </xf>
    <xf numFmtId="166" fontId="8" fillId="0" borderId="2" xfId="0" applyNumberFormat="1" applyFont="1" applyBorder="1" applyAlignment="1" applyProtection="1">
      <alignment horizontal="center" vertical="center"/>
      <protection hidden="1"/>
    </xf>
    <xf numFmtId="167" fontId="9" fillId="0" borderId="2" xfId="1" applyNumberFormat="1" applyFont="1" applyBorder="1" applyAlignment="1" applyProtection="1">
      <alignment horizontal="center" vertical="center"/>
      <protection locked="0"/>
    </xf>
    <xf numFmtId="164" fontId="8" fillId="0" borderId="2" xfId="0" applyNumberFormat="1" applyFont="1" applyBorder="1" applyAlignment="1" applyProtection="1">
      <alignment horizontal="center" vertical="center"/>
      <protection hidden="1"/>
    </xf>
    <xf numFmtId="1" fontId="9" fillId="0" borderId="3" xfId="0" applyNumberFormat="1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1" xfId="0" applyFont="1" applyBorder="1" applyAlignment="1" applyProtection="1">
      <alignment vertical="center"/>
      <protection hidden="1"/>
    </xf>
    <xf numFmtId="0" fontId="13" fillId="0" borderId="4" xfId="0" applyFont="1" applyBorder="1" applyAlignment="1" applyProtection="1">
      <alignment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vertical="center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13" fillId="0" borderId="0" xfId="0" applyFont="1" applyBorder="1" applyAlignment="1" applyProtection="1">
      <alignment vertical="center"/>
      <protection hidden="1"/>
    </xf>
    <xf numFmtId="0" fontId="16" fillId="0" borderId="11" xfId="0" applyFont="1" applyBorder="1"/>
    <xf numFmtId="0" fontId="16" fillId="0" borderId="0" xfId="0" applyFont="1"/>
    <xf numFmtId="0" fontId="17" fillId="0" borderId="0" xfId="0" applyFont="1"/>
    <xf numFmtId="0" fontId="6" fillId="3" borderId="0" xfId="0" applyFont="1" applyFill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right" vertical="center"/>
      <protection hidden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4" xfId="0" applyFont="1" applyBorder="1" applyAlignment="1" applyProtection="1">
      <alignment horizontal="right" vertical="center"/>
      <protection hidden="1"/>
    </xf>
    <xf numFmtId="0" fontId="8" fillId="0" borderId="0" xfId="0" applyFont="1" applyAlignment="1" applyProtection="1">
      <alignment horizontal="right" vertical="center"/>
      <protection hidden="1"/>
    </xf>
    <xf numFmtId="0" fontId="8" fillId="0" borderId="5" xfId="0" applyFont="1" applyBorder="1" applyAlignment="1" applyProtection="1">
      <alignment horizontal="right" vertical="center"/>
      <protection hidden="1"/>
    </xf>
    <xf numFmtId="0" fontId="7" fillId="2" borderId="9" xfId="0" applyFont="1" applyFill="1" applyBorder="1" applyAlignment="1" applyProtection="1">
      <alignment horizontal="center" vertical="center"/>
      <protection hidden="1"/>
    </xf>
    <xf numFmtId="0" fontId="8" fillId="0" borderId="6" xfId="0" applyFont="1" applyBorder="1" applyAlignment="1" applyProtection="1">
      <alignment horizontal="right" vertical="center"/>
      <protection hidden="1"/>
    </xf>
    <xf numFmtId="0" fontId="8" fillId="0" borderId="7" xfId="0" applyFont="1" applyBorder="1" applyAlignment="1" applyProtection="1">
      <alignment horizontal="right" vertical="center"/>
      <protection hidden="1"/>
    </xf>
    <xf numFmtId="0" fontId="17" fillId="0" borderId="0" xfId="0" applyFont="1" applyAlignment="1">
      <alignment horizontal="left"/>
    </xf>
    <xf numFmtId="0" fontId="7" fillId="2" borderId="10" xfId="0" applyFont="1" applyFill="1" applyBorder="1" applyAlignment="1" applyProtection="1">
      <alignment horizontal="center" vertical="center"/>
      <protection hidden="1"/>
    </xf>
    <xf numFmtId="0" fontId="8" fillId="0" borderId="6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</cellXfs>
  <cellStyles count="2">
    <cellStyle name="Normal" xfId="0" builtinId="0"/>
    <cellStyle name="Normal 2" xfId="1" xr:uid="{00000000-0005-0000-0000-000001000000}"/>
  </cellStyles>
  <dxfs count="1">
    <dxf>
      <fill>
        <patternFill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224746</xdr:colOff>
      <xdr:row>1</xdr:row>
      <xdr:rowOff>50292</xdr:rowOff>
    </xdr:from>
    <xdr:to>
      <xdr:col>2</xdr:col>
      <xdr:colOff>282059</xdr:colOff>
      <xdr:row>5</xdr:row>
      <xdr:rowOff>115633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8A8ED4-5E38-A77F-91D6-00EC69105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738" y="210826"/>
          <a:ext cx="640585" cy="664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/>
  <dimension ref="B2:R336"/>
  <sheetViews>
    <sheetView showGridLines="0" tabSelected="1" view="pageBreakPreview" zoomScale="120" zoomScaleNormal="100" zoomScaleSheetLayoutView="120" workbookViewId="0">
      <selection activeCell="G15" sqref="G15"/>
    </sheetView>
  </sheetViews>
  <sheetFormatPr baseColWidth="10" defaultColWidth="9.625" defaultRowHeight="12.75" x14ac:dyDescent="0.15"/>
  <cols>
    <col min="1" max="1" width="2.625" style="1" customWidth="1"/>
    <col min="2" max="6" width="7.625" style="1" customWidth="1"/>
    <col min="7" max="9" width="10.625" style="1" customWidth="1"/>
    <col min="10" max="10" width="1.375" style="1" customWidth="1"/>
    <col min="11" max="18" width="9.625" style="3"/>
    <col min="19" max="16384" width="9.625" style="1"/>
  </cols>
  <sheetData>
    <row r="2" spans="2:13" ht="12" customHeight="1" x14ac:dyDescent="0.15">
      <c r="B2" s="77"/>
      <c r="C2" s="78"/>
      <c r="D2" s="83" t="s">
        <v>38</v>
      </c>
      <c r="E2" s="83"/>
      <c r="F2" s="83"/>
      <c r="G2" s="84"/>
      <c r="H2" s="89" t="s">
        <v>56</v>
      </c>
      <c r="I2" s="90"/>
    </row>
    <row r="3" spans="2:13" ht="12" customHeight="1" x14ac:dyDescent="0.15">
      <c r="B3" s="79"/>
      <c r="C3" s="80"/>
      <c r="D3" s="85"/>
      <c r="E3" s="85"/>
      <c r="F3" s="85"/>
      <c r="G3" s="86"/>
      <c r="H3" s="91"/>
      <c r="I3" s="92"/>
    </row>
    <row r="4" spans="2:13" ht="12" customHeight="1" x14ac:dyDescent="0.15">
      <c r="B4" s="79"/>
      <c r="C4" s="80"/>
      <c r="D4" s="85"/>
      <c r="E4" s="85"/>
      <c r="F4" s="85"/>
      <c r="G4" s="86"/>
      <c r="H4" s="91"/>
      <c r="I4" s="92"/>
    </row>
    <row r="5" spans="2:13" ht="12" customHeight="1" x14ac:dyDescent="0.15">
      <c r="B5" s="79"/>
      <c r="C5" s="80"/>
      <c r="D5" s="85"/>
      <c r="E5" s="85"/>
      <c r="F5" s="85"/>
      <c r="G5" s="86"/>
      <c r="H5" s="91"/>
      <c r="I5" s="92"/>
      <c r="J5" s="2"/>
    </row>
    <row r="6" spans="2:13" ht="12" customHeight="1" x14ac:dyDescent="0.15">
      <c r="B6" s="81"/>
      <c r="C6" s="82"/>
      <c r="D6" s="87"/>
      <c r="E6" s="87"/>
      <c r="F6" s="87"/>
      <c r="G6" s="88"/>
      <c r="H6" s="93"/>
      <c r="I6" s="94"/>
      <c r="J6" s="3"/>
    </row>
    <row r="7" spans="2:13" ht="12" customHeight="1" x14ac:dyDescent="0.15">
      <c r="B7" s="95" t="s">
        <v>12</v>
      </c>
      <c r="C7" s="96"/>
      <c r="D7" s="11" t="s">
        <v>45</v>
      </c>
      <c r="E7" s="12"/>
      <c r="F7" s="12"/>
      <c r="G7" s="10" t="s">
        <v>14</v>
      </c>
      <c r="H7" s="13" t="s">
        <v>45</v>
      </c>
      <c r="I7" s="14"/>
      <c r="J7" s="3"/>
    </row>
    <row r="8" spans="2:13" ht="12" customHeight="1" x14ac:dyDescent="0.15">
      <c r="B8" s="97" t="s">
        <v>13</v>
      </c>
      <c r="C8" s="76"/>
      <c r="D8" s="16" t="s">
        <v>45</v>
      </c>
      <c r="E8" s="17"/>
      <c r="F8" s="17"/>
      <c r="G8" s="15" t="s">
        <v>15</v>
      </c>
      <c r="H8" s="16" t="s">
        <v>45</v>
      </c>
      <c r="I8" s="18"/>
      <c r="J8" s="3"/>
    </row>
    <row r="9" spans="2:13" ht="12" customHeight="1" x14ac:dyDescent="0.15">
      <c r="B9" s="19"/>
      <c r="C9" s="19"/>
      <c r="D9" s="19"/>
      <c r="E9" s="19"/>
      <c r="F9" s="19"/>
      <c r="G9" s="19"/>
      <c r="H9" s="19"/>
      <c r="I9" s="19"/>
      <c r="J9" s="3"/>
    </row>
    <row r="10" spans="2:13" ht="12" customHeight="1" x14ac:dyDescent="0.15">
      <c r="B10" s="98" t="s">
        <v>8</v>
      </c>
      <c r="C10" s="98"/>
      <c r="D10" s="98"/>
      <c r="E10" s="98"/>
      <c r="F10" s="98"/>
      <c r="G10" s="98"/>
      <c r="H10" s="98"/>
      <c r="I10" s="98"/>
      <c r="J10" s="3"/>
    </row>
    <row r="11" spans="2:13" ht="12" customHeight="1" x14ac:dyDescent="0.15">
      <c r="B11" s="99"/>
      <c r="C11" s="100"/>
      <c r="D11" s="100"/>
      <c r="E11" s="20"/>
      <c r="F11" s="100" t="s">
        <v>39</v>
      </c>
      <c r="G11" s="100"/>
      <c r="H11" s="100"/>
      <c r="I11" s="21" t="s">
        <v>45</v>
      </c>
      <c r="J11" s="3"/>
    </row>
    <row r="12" spans="2:13" ht="12" customHeight="1" x14ac:dyDescent="0.15">
      <c r="B12" s="95" t="s">
        <v>40</v>
      </c>
      <c r="C12" s="96"/>
      <c r="D12" s="96"/>
      <c r="E12" s="22" t="s">
        <v>45</v>
      </c>
      <c r="F12" s="96" t="s">
        <v>41</v>
      </c>
      <c r="G12" s="96"/>
      <c r="H12" s="96"/>
      <c r="I12" s="23">
        <f>E12+273</f>
        <v>273</v>
      </c>
      <c r="J12" s="3"/>
    </row>
    <row r="13" spans="2:13" ht="12" customHeight="1" x14ac:dyDescent="0.15">
      <c r="B13" s="95" t="s">
        <v>42</v>
      </c>
      <c r="C13" s="96"/>
      <c r="D13" s="96"/>
      <c r="E13" s="22" t="s">
        <v>45</v>
      </c>
      <c r="F13" s="12"/>
      <c r="G13" s="10"/>
      <c r="H13" s="10" t="s">
        <v>43</v>
      </c>
      <c r="I13" s="24" t="s">
        <v>45</v>
      </c>
      <c r="J13" s="3"/>
    </row>
    <row r="14" spans="2:13" ht="12" customHeight="1" x14ac:dyDescent="0.2">
      <c r="B14" s="25"/>
      <c r="C14" s="26"/>
      <c r="D14" s="26"/>
      <c r="E14" s="26"/>
      <c r="F14" s="76" t="s">
        <v>44</v>
      </c>
      <c r="G14" s="76"/>
      <c r="H14" s="76"/>
      <c r="I14" s="27">
        <f>E13+273</f>
        <v>273</v>
      </c>
      <c r="J14" s="3"/>
    </row>
    <row r="15" spans="2:13" ht="12" customHeight="1" x14ac:dyDescent="0.15">
      <c r="B15" s="19"/>
      <c r="C15" s="19"/>
      <c r="D15" s="19"/>
      <c r="E15" s="19"/>
      <c r="F15" s="19"/>
      <c r="G15" s="19"/>
      <c r="H15" s="19"/>
      <c r="I15" s="19"/>
      <c r="J15" s="3"/>
      <c r="L15" s="5"/>
      <c r="M15" s="5"/>
    </row>
    <row r="16" spans="2:13" ht="12" customHeight="1" x14ac:dyDescent="0.15">
      <c r="B16" s="102" t="s">
        <v>7</v>
      </c>
      <c r="C16" s="102"/>
      <c r="D16" s="102"/>
      <c r="E16" s="102"/>
      <c r="F16" s="102"/>
      <c r="G16" s="102"/>
      <c r="H16" s="102"/>
      <c r="I16" s="102"/>
      <c r="J16" s="3"/>
      <c r="L16" s="5"/>
      <c r="M16" s="5"/>
    </row>
    <row r="17" spans="2:17" ht="12" customHeight="1" x14ac:dyDescent="0.15">
      <c r="B17" s="28"/>
      <c r="C17" s="29" t="s">
        <v>16</v>
      </c>
      <c r="D17" s="30" t="s">
        <v>45</v>
      </c>
      <c r="E17" s="31"/>
      <c r="F17" s="100" t="s">
        <v>19</v>
      </c>
      <c r="G17" s="100"/>
      <c r="H17" s="32" t="s">
        <v>45</v>
      </c>
      <c r="I17" s="33"/>
      <c r="J17" s="3"/>
      <c r="L17" s="5"/>
      <c r="M17" s="5"/>
    </row>
    <row r="18" spans="2:17" ht="12" customHeight="1" x14ac:dyDescent="0.15">
      <c r="B18" s="34"/>
      <c r="C18" s="35" t="s">
        <v>17</v>
      </c>
      <c r="D18" s="22" t="s">
        <v>45</v>
      </c>
      <c r="E18" s="36"/>
      <c r="F18" s="96" t="s">
        <v>18</v>
      </c>
      <c r="G18" s="96"/>
      <c r="H18" s="37" t="s">
        <v>45</v>
      </c>
      <c r="I18" s="14"/>
      <c r="J18" s="3"/>
    </row>
    <row r="19" spans="2:17" ht="12" customHeight="1" x14ac:dyDescent="0.15">
      <c r="B19" s="38"/>
      <c r="C19" s="39" t="s">
        <v>6</v>
      </c>
      <c r="D19" s="40" t="s">
        <v>45</v>
      </c>
      <c r="E19" s="17"/>
      <c r="F19" s="76"/>
      <c r="G19" s="76"/>
      <c r="H19" s="41"/>
      <c r="I19" s="18"/>
      <c r="J19" s="3"/>
    </row>
    <row r="20" spans="2:17" ht="12" customHeight="1" x14ac:dyDescent="0.15">
      <c r="B20" s="19"/>
      <c r="C20" s="19"/>
      <c r="D20" s="19"/>
      <c r="E20" s="19"/>
      <c r="F20" s="19"/>
      <c r="G20" s="19"/>
      <c r="H20" s="19"/>
      <c r="I20" s="19"/>
      <c r="J20" s="3"/>
    </row>
    <row r="21" spans="2:17" ht="12" customHeight="1" x14ac:dyDescent="0.15">
      <c r="B21" s="98" t="s">
        <v>36</v>
      </c>
      <c r="C21" s="98"/>
      <c r="D21" s="98"/>
      <c r="E21" s="98"/>
      <c r="F21" s="98"/>
      <c r="G21" s="98"/>
      <c r="H21" s="98"/>
      <c r="I21" s="98"/>
      <c r="J21" s="3"/>
    </row>
    <row r="22" spans="2:17" ht="12" customHeight="1" x14ac:dyDescent="0.15">
      <c r="B22" s="103" t="s">
        <v>20</v>
      </c>
      <c r="C22" s="29" t="s">
        <v>48</v>
      </c>
      <c r="D22" s="29" t="s">
        <v>32</v>
      </c>
      <c r="E22" s="29" t="s">
        <v>33</v>
      </c>
      <c r="F22" s="29" t="s">
        <v>49</v>
      </c>
      <c r="G22" s="42"/>
      <c r="H22" s="43"/>
      <c r="I22" s="33"/>
      <c r="J22" s="3"/>
    </row>
    <row r="23" spans="2:17" ht="12" customHeight="1" x14ac:dyDescent="0.15">
      <c r="B23" s="104"/>
      <c r="C23" s="35" t="s">
        <v>31</v>
      </c>
      <c r="D23" s="35" t="s">
        <v>50</v>
      </c>
      <c r="E23" s="35" t="s">
        <v>34</v>
      </c>
      <c r="F23" s="35" t="s">
        <v>35</v>
      </c>
      <c r="G23" s="12"/>
      <c r="H23" s="44"/>
      <c r="I23" s="14"/>
      <c r="J23" s="3"/>
      <c r="L23" s="7" t="s">
        <v>46</v>
      </c>
      <c r="M23" s="7" t="s">
        <v>47</v>
      </c>
      <c r="N23" s="7"/>
      <c r="O23" s="75" t="e">
        <f>+IF(AND((COUNTIF(L24:L28,"CUMPLE")&gt;=3),M24="CUMPLE"),"VERIFICACION EXITOSA","NO CUMPLE VERIFICACION")</f>
        <v>#DIV/0!</v>
      </c>
      <c r="P23" s="75"/>
      <c r="Q23" s="75"/>
    </row>
    <row r="24" spans="2:17" ht="12" customHeight="1" x14ac:dyDescent="0.15">
      <c r="B24" s="45">
        <v>1</v>
      </c>
      <c r="C24" s="46"/>
      <c r="D24" s="47" t="e">
        <f>1/H17*(SQRT(C24*(I11/760)*(298/I12))-H18)</f>
        <v>#DIV/0!</v>
      </c>
      <c r="E24" s="48"/>
      <c r="F24" s="49">
        <f>(SQRT((I11/760)*(298/I12)))*E24</f>
        <v>0</v>
      </c>
      <c r="G24" s="50" t="s">
        <v>9</v>
      </c>
      <c r="H24" s="51" t="e">
        <f>(D24*F24+D25*F25+D26*F26+D27*F27+D28*F28-((SUM(D24:D28)*SUM(F24:F28))/I28)) / (-(D24)^2+(D25)^2+(D26)^2+(D27)^2+(D28)^2-(SUM(D24:D28)^2/I28))</f>
        <v>#DIV/0!</v>
      </c>
      <c r="I24" s="52"/>
      <c r="J24" s="3"/>
      <c r="K24" s="6"/>
      <c r="L24" s="8" t="e">
        <f>+IF(AND(D24&gt;=1.1,D24&lt;=1.7),"CUMPLE","NO CUMPLE")</f>
        <v>#DIV/0!</v>
      </c>
      <c r="M24" s="7" t="e">
        <f>+IF(H26&gt;=0.99,"CUMPLE","NO CUMPLE")</f>
        <v>#DIV/0!</v>
      </c>
      <c r="N24" s="7"/>
      <c r="O24" s="75"/>
      <c r="P24" s="75"/>
      <c r="Q24" s="75"/>
    </row>
    <row r="25" spans="2:17" ht="12" customHeight="1" x14ac:dyDescent="0.15">
      <c r="B25" s="45">
        <v>2</v>
      </c>
      <c r="C25" s="46"/>
      <c r="D25" s="47" t="e">
        <f>1/H17*(SQRT(C25*(I11/760)*(298/I12))-H18)</f>
        <v>#DIV/0!</v>
      </c>
      <c r="E25" s="48"/>
      <c r="F25" s="49">
        <f>(SQRT((I11/760)*(298/I12)))*E25</f>
        <v>0</v>
      </c>
      <c r="G25" s="50" t="s">
        <v>10</v>
      </c>
      <c r="H25" s="51" t="e">
        <f>(AVERAGE(F24:F28)-(D24*F24+D25*F25+D26*F26+D27*F27+D28*F28-((SUM(D24:D28)*SUM(F24:F28))/I28)) / (-(D24)^2+(D25)^2+(D26)^2+(D27)^2+(D28)^2-(SUM(D24:D28)^2/I28))* AVERAGE(D24:D28))</f>
        <v>#DIV/0!</v>
      </c>
      <c r="I25" s="52"/>
      <c r="J25" s="3"/>
      <c r="K25" s="6"/>
      <c r="L25" s="8" t="e">
        <f t="shared" ref="L25:L28" si="0">+IF(AND(D25&gt;=1.1,D25&lt;=1.7),"CUMPLE","NO CUMPLE")</f>
        <v>#DIV/0!</v>
      </c>
      <c r="M25" s="7"/>
      <c r="N25" s="7"/>
      <c r="O25" s="75"/>
      <c r="P25" s="75"/>
      <c r="Q25" s="75"/>
    </row>
    <row r="26" spans="2:17" ht="12" customHeight="1" x14ac:dyDescent="0.15">
      <c r="B26" s="45">
        <v>3</v>
      </c>
      <c r="C26" s="46"/>
      <c r="D26" s="47" t="e">
        <f>1/H17*(SQRT(C26*(I11/760)*(298/I12))-H18)</f>
        <v>#DIV/0!</v>
      </c>
      <c r="E26" s="48"/>
      <c r="F26" s="49">
        <f>(SQRT((I11/760)*(298/I12)))*E26</f>
        <v>0</v>
      </c>
      <c r="G26" s="50" t="s">
        <v>11</v>
      </c>
      <c r="H26" s="51" t="e">
        <f>(D24*F24+D25*F25+D26*F26+D27*F27+D28*F28-(SUM(D24:D28)*SUM(F24:F28)/I28))  /  ((-(D24)^2+(D25)^2+(D26)^2+(D27)^2+(D28)^2-(SUM(D24:D28)^2/I28))  *  ((F24)^2+(F25)^2+(F26)^2+(F27)^2+(F28)^2-(SUM(F24:F28)^2/I28)))^0.5</f>
        <v>#DIV/0!</v>
      </c>
      <c r="I26" s="52"/>
      <c r="J26" s="3"/>
      <c r="K26" s="6"/>
      <c r="L26" s="8" t="e">
        <f t="shared" si="0"/>
        <v>#DIV/0!</v>
      </c>
      <c r="M26" s="7"/>
      <c r="N26" s="7"/>
      <c r="O26" s="9"/>
      <c r="P26" s="9"/>
      <c r="Q26" s="9"/>
    </row>
    <row r="27" spans="2:17" ht="12" customHeight="1" x14ac:dyDescent="0.15">
      <c r="B27" s="45">
        <v>4</v>
      </c>
      <c r="C27" s="46"/>
      <c r="D27" s="47" t="e">
        <f>1/H17*(SQRT(C27*(I11/760)*(298/I12))-H18)</f>
        <v>#DIV/0!</v>
      </c>
      <c r="E27" s="48"/>
      <c r="F27" s="49">
        <f>(SQRT((I11/760)*(298/I12)))*E27</f>
        <v>0</v>
      </c>
      <c r="G27" s="12"/>
      <c r="H27" s="12"/>
      <c r="I27" s="53"/>
      <c r="J27" s="3"/>
      <c r="K27" s="6"/>
      <c r="L27" s="8" t="e">
        <f t="shared" si="0"/>
        <v>#DIV/0!</v>
      </c>
      <c r="M27" s="7"/>
      <c r="N27" s="7"/>
      <c r="O27" s="9"/>
      <c r="P27" s="9"/>
      <c r="Q27" s="9"/>
    </row>
    <row r="28" spans="2:17" ht="12" customHeight="1" x14ac:dyDescent="0.15">
      <c r="B28" s="54">
        <v>5</v>
      </c>
      <c r="C28" s="55"/>
      <c r="D28" s="56" t="e">
        <f>1/H17*(SQRT(C28*(I11/760)*(298/I12))-H18)</f>
        <v>#DIV/0!</v>
      </c>
      <c r="E28" s="57"/>
      <c r="F28" s="58">
        <f>(SQRT((I11/760)*(298/I12)))*E28</f>
        <v>0</v>
      </c>
      <c r="G28" s="76" t="s">
        <v>21</v>
      </c>
      <c r="H28" s="76"/>
      <c r="I28" s="59">
        <v>5</v>
      </c>
      <c r="J28" s="3"/>
      <c r="K28" s="6"/>
      <c r="L28" s="8" t="e">
        <f t="shared" si="0"/>
        <v>#DIV/0!</v>
      </c>
      <c r="M28" s="7"/>
      <c r="N28" s="7"/>
      <c r="O28" s="9"/>
      <c r="P28" s="9"/>
      <c r="Q28" s="9"/>
    </row>
    <row r="29" spans="2:17" ht="12" customHeight="1" x14ac:dyDescent="0.15">
      <c r="B29" s="19"/>
      <c r="C29" s="19"/>
      <c r="D29" s="19"/>
      <c r="E29" s="19"/>
      <c r="F29" s="19"/>
      <c r="G29" s="19"/>
      <c r="H29" s="19"/>
      <c r="I29" s="19"/>
      <c r="J29" s="3"/>
      <c r="K29" s="4"/>
    </row>
    <row r="30" spans="2:17" ht="12" customHeight="1" x14ac:dyDescent="0.15">
      <c r="B30" s="98" t="s">
        <v>37</v>
      </c>
      <c r="C30" s="98"/>
      <c r="D30" s="98"/>
      <c r="E30" s="98"/>
      <c r="F30" s="98"/>
      <c r="G30" s="98"/>
      <c r="H30" s="98"/>
      <c r="I30" s="98"/>
      <c r="J30" s="3"/>
      <c r="K30" s="4"/>
    </row>
    <row r="31" spans="2:17" ht="12" customHeight="1" x14ac:dyDescent="0.15">
      <c r="B31" s="60" t="s">
        <v>51</v>
      </c>
      <c r="C31" s="61"/>
      <c r="D31" s="61"/>
      <c r="E31" s="61"/>
      <c r="F31" s="61"/>
      <c r="G31" s="62" t="s">
        <v>1</v>
      </c>
      <c r="H31" s="61"/>
      <c r="I31" s="63"/>
      <c r="J31" s="3"/>
      <c r="K31" s="4"/>
    </row>
    <row r="32" spans="2:17" ht="12" customHeight="1" x14ac:dyDescent="0.15">
      <c r="B32" s="60" t="s">
        <v>52</v>
      </c>
      <c r="C32" s="61"/>
      <c r="D32" s="61"/>
      <c r="E32" s="61"/>
      <c r="F32" s="61"/>
      <c r="G32" s="62" t="s">
        <v>2</v>
      </c>
      <c r="H32" s="61"/>
      <c r="I32" s="63"/>
      <c r="J32" s="3"/>
    </row>
    <row r="33" spans="2:10" ht="12" customHeight="1" x14ac:dyDescent="0.15">
      <c r="B33" s="64"/>
      <c r="C33" s="61"/>
      <c r="D33" s="61"/>
      <c r="E33" s="61"/>
      <c r="F33" s="61"/>
      <c r="G33" s="62" t="s">
        <v>30</v>
      </c>
      <c r="H33" s="61"/>
      <c r="I33" s="63"/>
      <c r="J33" s="3"/>
    </row>
    <row r="34" spans="2:10" ht="12" customHeight="1" x14ac:dyDescent="0.15">
      <c r="B34" s="60" t="s">
        <v>22</v>
      </c>
      <c r="C34" s="61"/>
      <c r="D34" s="61"/>
      <c r="E34" s="61"/>
      <c r="F34" s="61"/>
      <c r="G34" s="62" t="s">
        <v>3</v>
      </c>
      <c r="H34" s="61"/>
      <c r="I34" s="63"/>
      <c r="J34" s="3"/>
    </row>
    <row r="35" spans="2:10" ht="12" customHeight="1" x14ac:dyDescent="0.15">
      <c r="B35" s="60" t="s">
        <v>53</v>
      </c>
      <c r="C35" s="61"/>
      <c r="D35" s="61"/>
      <c r="E35" s="61"/>
      <c r="F35" s="61"/>
      <c r="G35" s="61"/>
      <c r="H35" s="61"/>
      <c r="I35" s="63"/>
      <c r="J35" s="3"/>
    </row>
    <row r="36" spans="2:10" ht="12" customHeight="1" x14ac:dyDescent="0.15">
      <c r="B36" s="60" t="s">
        <v>23</v>
      </c>
      <c r="C36" s="61"/>
      <c r="D36" s="61"/>
      <c r="E36" s="61"/>
      <c r="F36" s="61"/>
      <c r="G36" s="65" t="s">
        <v>4</v>
      </c>
      <c r="H36" s="61"/>
      <c r="I36" s="63"/>
      <c r="J36" s="3"/>
    </row>
    <row r="37" spans="2:10" ht="12" customHeight="1" x14ac:dyDescent="0.15">
      <c r="B37" s="60" t="s">
        <v>27</v>
      </c>
      <c r="C37" s="61"/>
      <c r="D37" s="61"/>
      <c r="E37" s="61"/>
      <c r="F37" s="61"/>
      <c r="G37" s="65" t="s">
        <v>5</v>
      </c>
      <c r="H37" s="61"/>
      <c r="I37" s="63"/>
      <c r="J37" s="3"/>
    </row>
    <row r="38" spans="2:10" ht="12" customHeight="1" x14ac:dyDescent="0.15">
      <c r="B38" s="60" t="s">
        <v>28</v>
      </c>
      <c r="C38" s="61"/>
      <c r="D38" s="61"/>
      <c r="E38" s="61"/>
      <c r="F38" s="61"/>
      <c r="G38" s="62" t="s">
        <v>24</v>
      </c>
      <c r="H38" s="61"/>
      <c r="I38" s="63"/>
      <c r="J38" s="3"/>
    </row>
    <row r="39" spans="2:10" ht="12" customHeight="1" x14ac:dyDescent="0.15">
      <c r="B39" s="60" t="s">
        <v>0</v>
      </c>
      <c r="C39" s="61"/>
      <c r="D39" s="61"/>
      <c r="E39" s="61"/>
      <c r="F39" s="61"/>
      <c r="G39" s="62" t="s">
        <v>25</v>
      </c>
      <c r="H39" s="61"/>
      <c r="I39" s="63"/>
      <c r="J39" s="3"/>
    </row>
    <row r="40" spans="2:10" ht="12" customHeight="1" x14ac:dyDescent="0.15">
      <c r="B40" s="66" t="s">
        <v>29</v>
      </c>
      <c r="C40" s="67"/>
      <c r="D40" s="67"/>
      <c r="E40" s="67"/>
      <c r="F40" s="67"/>
      <c r="G40" s="68" t="s">
        <v>26</v>
      </c>
      <c r="H40" s="67"/>
      <c r="I40" s="69"/>
      <c r="J40" s="3"/>
    </row>
    <row r="41" spans="2:10" ht="12" customHeight="1" x14ac:dyDescent="0.15">
      <c r="B41" s="70"/>
      <c r="C41" s="71"/>
      <c r="D41" s="71"/>
      <c r="E41" s="71"/>
      <c r="F41" s="71"/>
      <c r="G41" s="70"/>
      <c r="H41" s="71"/>
      <c r="I41" s="71"/>
      <c r="J41" s="3"/>
    </row>
    <row r="42" spans="2:10" ht="12" customHeight="1" thickBot="1" x14ac:dyDescent="0.3">
      <c r="B42" s="72"/>
      <c r="C42" s="72"/>
      <c r="D42" s="72"/>
      <c r="E42" s="73"/>
      <c r="F42" s="73"/>
      <c r="G42" s="72"/>
      <c r="H42" s="72"/>
      <c r="I42" s="72"/>
      <c r="J42" s="72"/>
    </row>
    <row r="43" spans="2:10" ht="12" customHeight="1" x14ac:dyDescent="0.25">
      <c r="B43" s="101" t="s">
        <v>54</v>
      </c>
      <c r="C43" s="101"/>
      <c r="D43" s="101"/>
      <c r="E43" s="101"/>
      <c r="F43" s="73"/>
      <c r="G43" s="74" t="s">
        <v>55</v>
      </c>
      <c r="H43" s="74"/>
      <c r="I43" s="74"/>
      <c r="J43" s="73"/>
    </row>
    <row r="44" spans="2:10" s="3" customFormat="1" x14ac:dyDescent="0.15"/>
    <row r="45" spans="2:10" s="3" customFormat="1" x14ac:dyDescent="0.15"/>
    <row r="46" spans="2:10" s="3" customFormat="1" x14ac:dyDescent="0.15"/>
    <row r="47" spans="2:10" s="3" customFormat="1" x14ac:dyDescent="0.15"/>
    <row r="48" spans="2:10" s="3" customFormat="1" x14ac:dyDescent="0.15"/>
    <row r="49" s="3" customFormat="1" x14ac:dyDescent="0.15"/>
    <row r="50" s="3" customFormat="1" x14ac:dyDescent="0.15"/>
    <row r="51" s="3" customFormat="1" x14ac:dyDescent="0.15"/>
    <row r="52" s="3" customFormat="1" x14ac:dyDescent="0.15"/>
    <row r="53" s="3" customFormat="1" x14ac:dyDescent="0.15"/>
    <row r="54" s="3" customFormat="1" x14ac:dyDescent="0.15"/>
    <row r="55" s="3" customFormat="1" x14ac:dyDescent="0.15"/>
    <row r="56" s="3" customFormat="1" x14ac:dyDescent="0.15"/>
    <row r="57" s="3" customFormat="1" x14ac:dyDescent="0.15"/>
    <row r="58" s="3" customFormat="1" x14ac:dyDescent="0.15"/>
    <row r="59" s="3" customFormat="1" x14ac:dyDescent="0.15"/>
    <row r="60" s="3" customFormat="1" x14ac:dyDescent="0.15"/>
    <row r="61" s="3" customFormat="1" x14ac:dyDescent="0.15"/>
    <row r="62" s="3" customFormat="1" x14ac:dyDescent="0.15"/>
    <row r="63" s="3" customFormat="1" x14ac:dyDescent="0.15"/>
    <row r="64" s="3" customFormat="1" x14ac:dyDescent="0.15"/>
    <row r="65" s="3" customFormat="1" x14ac:dyDescent="0.15"/>
    <row r="66" s="3" customFormat="1" x14ac:dyDescent="0.15"/>
    <row r="67" s="3" customFormat="1" x14ac:dyDescent="0.15"/>
    <row r="68" s="3" customFormat="1" x14ac:dyDescent="0.15"/>
    <row r="69" s="3" customFormat="1" x14ac:dyDescent="0.15"/>
    <row r="70" s="3" customFormat="1" x14ac:dyDescent="0.15"/>
    <row r="71" s="3" customFormat="1" x14ac:dyDescent="0.15"/>
    <row r="72" s="3" customFormat="1" x14ac:dyDescent="0.15"/>
    <row r="73" s="3" customFormat="1" x14ac:dyDescent="0.15"/>
    <row r="74" s="3" customFormat="1" x14ac:dyDescent="0.15"/>
    <row r="75" s="3" customFormat="1" x14ac:dyDescent="0.15"/>
    <row r="76" s="3" customFormat="1" x14ac:dyDescent="0.15"/>
    <row r="77" s="3" customFormat="1" x14ac:dyDescent="0.15"/>
    <row r="78" s="3" customFormat="1" x14ac:dyDescent="0.15"/>
    <row r="79" s="3" customFormat="1" x14ac:dyDescent="0.15"/>
    <row r="80" s="3" customFormat="1" x14ac:dyDescent="0.15"/>
    <row r="81" s="3" customFormat="1" x14ac:dyDescent="0.15"/>
    <row r="82" s="3" customFormat="1" x14ac:dyDescent="0.15"/>
    <row r="83" s="3" customFormat="1" x14ac:dyDescent="0.15"/>
    <row r="84" s="3" customFormat="1" x14ac:dyDescent="0.15"/>
    <row r="85" s="3" customFormat="1" x14ac:dyDescent="0.15"/>
    <row r="86" s="3" customFormat="1" x14ac:dyDescent="0.15"/>
    <row r="87" s="3" customFormat="1" x14ac:dyDescent="0.15"/>
    <row r="88" s="3" customFormat="1" x14ac:dyDescent="0.15"/>
    <row r="89" s="3" customFormat="1" x14ac:dyDescent="0.15"/>
    <row r="90" s="3" customFormat="1" x14ac:dyDescent="0.15"/>
    <row r="91" s="3" customFormat="1" x14ac:dyDescent="0.15"/>
    <row r="92" s="3" customFormat="1" x14ac:dyDescent="0.15"/>
    <row r="93" s="3" customFormat="1" x14ac:dyDescent="0.15"/>
    <row r="94" s="3" customFormat="1" x14ac:dyDescent="0.15"/>
    <row r="95" s="3" customFormat="1" x14ac:dyDescent="0.15"/>
    <row r="96" s="3" customFormat="1" x14ac:dyDescent="0.15"/>
    <row r="97" s="3" customFormat="1" x14ac:dyDescent="0.15"/>
    <row r="98" s="3" customFormat="1" x14ac:dyDescent="0.15"/>
    <row r="99" s="3" customFormat="1" x14ac:dyDescent="0.15"/>
    <row r="100" s="3" customFormat="1" x14ac:dyDescent="0.15"/>
    <row r="101" s="3" customFormat="1" x14ac:dyDescent="0.15"/>
    <row r="102" s="3" customFormat="1" x14ac:dyDescent="0.15"/>
    <row r="103" s="3" customFormat="1" x14ac:dyDescent="0.15"/>
    <row r="104" s="3" customFormat="1" x14ac:dyDescent="0.15"/>
    <row r="105" s="3" customFormat="1" x14ac:dyDescent="0.15"/>
    <row r="106" s="3" customFormat="1" x14ac:dyDescent="0.15"/>
    <row r="107" s="3" customFormat="1" x14ac:dyDescent="0.15"/>
    <row r="108" s="3" customFormat="1" x14ac:dyDescent="0.15"/>
    <row r="109" s="3" customFormat="1" x14ac:dyDescent="0.15"/>
    <row r="110" s="3" customFormat="1" x14ac:dyDescent="0.15"/>
    <row r="111" s="3" customFormat="1" x14ac:dyDescent="0.15"/>
    <row r="112" s="3" customFormat="1" x14ac:dyDescent="0.15"/>
    <row r="113" s="3" customFormat="1" x14ac:dyDescent="0.15"/>
    <row r="114" s="3" customFormat="1" x14ac:dyDescent="0.15"/>
    <row r="115" s="3" customFormat="1" x14ac:dyDescent="0.15"/>
    <row r="116" s="3" customFormat="1" x14ac:dyDescent="0.15"/>
    <row r="117" s="3" customFormat="1" x14ac:dyDescent="0.15"/>
    <row r="118" s="3" customFormat="1" x14ac:dyDescent="0.15"/>
    <row r="119" s="3" customFormat="1" x14ac:dyDescent="0.15"/>
    <row r="120" s="3" customFormat="1" x14ac:dyDescent="0.15"/>
    <row r="121" s="3" customFormat="1" x14ac:dyDescent="0.15"/>
    <row r="122" s="3" customFormat="1" x14ac:dyDescent="0.15"/>
    <row r="123" s="3" customFormat="1" x14ac:dyDescent="0.15"/>
    <row r="124" s="3" customFormat="1" x14ac:dyDescent="0.15"/>
    <row r="125" s="3" customFormat="1" x14ac:dyDescent="0.15"/>
    <row r="126" s="3" customFormat="1" x14ac:dyDescent="0.15"/>
    <row r="127" s="3" customFormat="1" x14ac:dyDescent="0.15"/>
    <row r="128" s="3" customFormat="1" x14ac:dyDescent="0.15"/>
    <row r="129" s="3" customFormat="1" x14ac:dyDescent="0.15"/>
    <row r="130" s="3" customFormat="1" x14ac:dyDescent="0.15"/>
    <row r="131" s="3" customFormat="1" x14ac:dyDescent="0.15"/>
    <row r="132" s="3" customFormat="1" x14ac:dyDescent="0.15"/>
    <row r="133" s="3" customFormat="1" x14ac:dyDescent="0.15"/>
    <row r="134" s="3" customFormat="1" x14ac:dyDescent="0.15"/>
    <row r="135" s="3" customFormat="1" x14ac:dyDescent="0.15"/>
    <row r="136" s="3" customFormat="1" x14ac:dyDescent="0.15"/>
    <row r="137" s="3" customFormat="1" x14ac:dyDescent="0.15"/>
    <row r="138" s="3" customFormat="1" x14ac:dyDescent="0.15"/>
    <row r="139" s="3" customFormat="1" x14ac:dyDescent="0.15"/>
    <row r="140" s="3" customFormat="1" x14ac:dyDescent="0.15"/>
    <row r="141" s="3" customFormat="1" x14ac:dyDescent="0.15"/>
    <row r="142" s="3" customFormat="1" x14ac:dyDescent="0.15"/>
    <row r="143" s="3" customFormat="1" x14ac:dyDescent="0.15"/>
    <row r="144" s="3" customFormat="1" x14ac:dyDescent="0.15"/>
    <row r="145" s="3" customFormat="1" x14ac:dyDescent="0.15"/>
    <row r="146" s="3" customFormat="1" x14ac:dyDescent="0.15"/>
    <row r="147" s="3" customFormat="1" x14ac:dyDescent="0.15"/>
    <row r="148" s="3" customFormat="1" x14ac:dyDescent="0.15"/>
    <row r="149" s="3" customFormat="1" x14ac:dyDescent="0.15"/>
    <row r="150" s="3" customFormat="1" x14ac:dyDescent="0.15"/>
    <row r="151" s="3" customFormat="1" x14ac:dyDescent="0.15"/>
    <row r="152" s="3" customFormat="1" x14ac:dyDescent="0.15"/>
    <row r="153" s="3" customFormat="1" x14ac:dyDescent="0.15"/>
    <row r="154" s="3" customFormat="1" x14ac:dyDescent="0.15"/>
    <row r="155" s="3" customFormat="1" x14ac:dyDescent="0.15"/>
    <row r="156" s="3" customFormat="1" x14ac:dyDescent="0.15"/>
    <row r="157" s="3" customFormat="1" x14ac:dyDescent="0.15"/>
    <row r="158" s="3" customFormat="1" x14ac:dyDescent="0.15"/>
    <row r="159" s="3" customFormat="1" x14ac:dyDescent="0.15"/>
    <row r="160" s="3" customFormat="1" x14ac:dyDescent="0.15"/>
    <row r="161" s="3" customFormat="1" x14ac:dyDescent="0.15"/>
    <row r="162" s="3" customFormat="1" x14ac:dyDescent="0.15"/>
    <row r="163" s="3" customFormat="1" x14ac:dyDescent="0.15"/>
    <row r="164" s="3" customFormat="1" x14ac:dyDescent="0.15"/>
    <row r="165" s="3" customFormat="1" x14ac:dyDescent="0.15"/>
    <row r="166" s="3" customFormat="1" x14ac:dyDescent="0.15"/>
    <row r="167" s="3" customFormat="1" x14ac:dyDescent="0.15"/>
    <row r="168" s="3" customFormat="1" x14ac:dyDescent="0.15"/>
    <row r="169" s="3" customFormat="1" x14ac:dyDescent="0.15"/>
    <row r="170" s="3" customFormat="1" x14ac:dyDescent="0.15"/>
    <row r="171" s="3" customFormat="1" x14ac:dyDescent="0.15"/>
    <row r="172" s="3" customFormat="1" x14ac:dyDescent="0.15"/>
    <row r="173" s="3" customFormat="1" x14ac:dyDescent="0.15"/>
    <row r="174" s="3" customFormat="1" x14ac:dyDescent="0.15"/>
    <row r="175" s="3" customFormat="1" x14ac:dyDescent="0.15"/>
    <row r="176" s="3" customFormat="1" x14ac:dyDescent="0.15"/>
    <row r="177" s="3" customFormat="1" x14ac:dyDescent="0.15"/>
    <row r="178" s="3" customFormat="1" x14ac:dyDescent="0.15"/>
    <row r="179" s="3" customFormat="1" x14ac:dyDescent="0.15"/>
    <row r="180" s="3" customFormat="1" x14ac:dyDescent="0.15"/>
    <row r="181" s="3" customFormat="1" x14ac:dyDescent="0.15"/>
    <row r="182" s="3" customFormat="1" x14ac:dyDescent="0.15"/>
    <row r="183" s="3" customFormat="1" x14ac:dyDescent="0.15"/>
    <row r="184" s="3" customFormat="1" x14ac:dyDescent="0.15"/>
    <row r="185" s="3" customFormat="1" x14ac:dyDescent="0.15"/>
    <row r="186" s="3" customFormat="1" x14ac:dyDescent="0.15"/>
    <row r="187" s="3" customFormat="1" x14ac:dyDescent="0.15"/>
    <row r="188" s="3" customFormat="1" x14ac:dyDescent="0.15"/>
    <row r="189" s="3" customFormat="1" x14ac:dyDescent="0.15"/>
    <row r="190" s="3" customFormat="1" x14ac:dyDescent="0.15"/>
    <row r="191" s="3" customFormat="1" x14ac:dyDescent="0.15"/>
    <row r="192" s="3" customFormat="1" x14ac:dyDescent="0.15"/>
    <row r="193" s="3" customFormat="1" x14ac:dyDescent="0.15"/>
    <row r="194" s="3" customFormat="1" x14ac:dyDescent="0.15"/>
    <row r="195" s="3" customFormat="1" x14ac:dyDescent="0.15"/>
    <row r="196" s="3" customFormat="1" x14ac:dyDescent="0.15"/>
    <row r="197" s="3" customFormat="1" x14ac:dyDescent="0.15"/>
    <row r="198" s="3" customFormat="1" x14ac:dyDescent="0.15"/>
    <row r="199" s="3" customFormat="1" x14ac:dyDescent="0.15"/>
    <row r="200" s="3" customFormat="1" x14ac:dyDescent="0.15"/>
    <row r="201" s="3" customFormat="1" x14ac:dyDescent="0.15"/>
    <row r="202" s="3" customFormat="1" x14ac:dyDescent="0.15"/>
    <row r="203" s="3" customFormat="1" x14ac:dyDescent="0.15"/>
    <row r="204" s="3" customFormat="1" x14ac:dyDescent="0.15"/>
    <row r="205" s="3" customFormat="1" x14ac:dyDescent="0.15"/>
    <row r="206" s="3" customFormat="1" x14ac:dyDescent="0.15"/>
    <row r="207" s="3" customFormat="1" x14ac:dyDescent="0.15"/>
    <row r="208" s="3" customFormat="1" x14ac:dyDescent="0.15"/>
    <row r="209" s="3" customFormat="1" x14ac:dyDescent="0.15"/>
    <row r="210" s="3" customFormat="1" x14ac:dyDescent="0.15"/>
    <row r="211" s="3" customFormat="1" x14ac:dyDescent="0.15"/>
    <row r="212" s="3" customFormat="1" x14ac:dyDescent="0.15"/>
    <row r="213" s="3" customFormat="1" x14ac:dyDescent="0.15"/>
    <row r="214" s="3" customFormat="1" x14ac:dyDescent="0.15"/>
    <row r="215" s="3" customFormat="1" x14ac:dyDescent="0.15"/>
    <row r="216" s="3" customFormat="1" x14ac:dyDescent="0.15"/>
    <row r="217" s="3" customFormat="1" x14ac:dyDescent="0.15"/>
    <row r="218" s="3" customFormat="1" x14ac:dyDescent="0.15"/>
    <row r="219" s="3" customFormat="1" x14ac:dyDescent="0.15"/>
    <row r="220" s="3" customFormat="1" x14ac:dyDescent="0.15"/>
    <row r="221" s="3" customFormat="1" x14ac:dyDescent="0.15"/>
    <row r="222" s="3" customFormat="1" x14ac:dyDescent="0.15"/>
    <row r="223" s="3" customFormat="1" x14ac:dyDescent="0.15"/>
    <row r="224" s="3" customFormat="1" x14ac:dyDescent="0.15"/>
    <row r="225" s="3" customFormat="1" x14ac:dyDescent="0.15"/>
    <row r="226" s="3" customFormat="1" x14ac:dyDescent="0.15"/>
    <row r="227" s="3" customFormat="1" x14ac:dyDescent="0.15"/>
    <row r="228" s="3" customFormat="1" x14ac:dyDescent="0.15"/>
    <row r="229" s="3" customFormat="1" x14ac:dyDescent="0.15"/>
    <row r="230" s="3" customFormat="1" x14ac:dyDescent="0.15"/>
    <row r="231" s="3" customFormat="1" x14ac:dyDescent="0.15"/>
    <row r="232" s="3" customFormat="1" x14ac:dyDescent="0.15"/>
    <row r="233" s="3" customFormat="1" x14ac:dyDescent="0.15"/>
    <row r="234" s="3" customFormat="1" x14ac:dyDescent="0.15"/>
    <row r="235" s="3" customFormat="1" x14ac:dyDescent="0.15"/>
    <row r="236" s="3" customFormat="1" x14ac:dyDescent="0.15"/>
    <row r="237" s="3" customFormat="1" x14ac:dyDescent="0.15"/>
    <row r="238" s="3" customFormat="1" x14ac:dyDescent="0.15"/>
    <row r="239" s="3" customFormat="1" x14ac:dyDescent="0.15"/>
    <row r="240" s="3" customFormat="1" x14ac:dyDescent="0.15"/>
    <row r="241" s="3" customFormat="1" x14ac:dyDescent="0.15"/>
    <row r="242" s="3" customFormat="1" x14ac:dyDescent="0.15"/>
    <row r="243" s="3" customFormat="1" x14ac:dyDescent="0.15"/>
    <row r="244" s="3" customFormat="1" x14ac:dyDescent="0.15"/>
    <row r="245" s="3" customFormat="1" x14ac:dyDescent="0.15"/>
    <row r="246" s="3" customFormat="1" x14ac:dyDescent="0.15"/>
    <row r="247" s="3" customFormat="1" x14ac:dyDescent="0.15"/>
    <row r="248" s="3" customFormat="1" x14ac:dyDescent="0.15"/>
    <row r="249" s="3" customFormat="1" x14ac:dyDescent="0.15"/>
    <row r="250" s="3" customFormat="1" x14ac:dyDescent="0.15"/>
    <row r="251" s="3" customFormat="1" x14ac:dyDescent="0.15"/>
    <row r="252" s="3" customFormat="1" x14ac:dyDescent="0.15"/>
    <row r="253" s="3" customFormat="1" x14ac:dyDescent="0.15"/>
    <row r="254" s="3" customFormat="1" x14ac:dyDescent="0.15"/>
    <row r="255" s="3" customFormat="1" x14ac:dyDescent="0.15"/>
    <row r="256" s="3" customFormat="1" x14ac:dyDescent="0.15"/>
    <row r="257" s="3" customFormat="1" x14ac:dyDescent="0.15"/>
    <row r="258" s="3" customFormat="1" x14ac:dyDescent="0.15"/>
    <row r="259" s="3" customFormat="1" x14ac:dyDescent="0.15"/>
    <row r="260" s="3" customFormat="1" x14ac:dyDescent="0.15"/>
    <row r="261" s="3" customFormat="1" x14ac:dyDescent="0.15"/>
    <row r="262" s="3" customFormat="1" x14ac:dyDescent="0.15"/>
    <row r="263" s="3" customFormat="1" x14ac:dyDescent="0.15"/>
    <row r="264" s="3" customFormat="1" x14ac:dyDescent="0.15"/>
    <row r="265" s="3" customFormat="1" x14ac:dyDescent="0.15"/>
    <row r="266" s="3" customFormat="1" x14ac:dyDescent="0.15"/>
    <row r="267" s="3" customFormat="1" x14ac:dyDescent="0.15"/>
    <row r="268" s="3" customFormat="1" x14ac:dyDescent="0.15"/>
    <row r="269" s="3" customFormat="1" x14ac:dyDescent="0.15"/>
    <row r="270" s="3" customFormat="1" x14ac:dyDescent="0.15"/>
    <row r="271" s="3" customFormat="1" x14ac:dyDescent="0.15"/>
    <row r="272" s="3" customFormat="1" x14ac:dyDescent="0.15"/>
    <row r="273" s="3" customFormat="1" x14ac:dyDescent="0.15"/>
    <row r="274" s="3" customFormat="1" x14ac:dyDescent="0.15"/>
    <row r="275" s="3" customFormat="1" x14ac:dyDescent="0.15"/>
    <row r="276" s="3" customFormat="1" x14ac:dyDescent="0.15"/>
    <row r="277" s="3" customFormat="1" x14ac:dyDescent="0.15"/>
    <row r="278" s="3" customFormat="1" x14ac:dyDescent="0.15"/>
    <row r="279" s="3" customFormat="1" x14ac:dyDescent="0.15"/>
    <row r="280" s="3" customFormat="1" x14ac:dyDescent="0.15"/>
    <row r="281" s="3" customFormat="1" x14ac:dyDescent="0.15"/>
    <row r="282" s="3" customFormat="1" x14ac:dyDescent="0.15"/>
    <row r="283" s="3" customFormat="1" x14ac:dyDescent="0.15"/>
    <row r="284" s="3" customFormat="1" x14ac:dyDescent="0.15"/>
    <row r="285" s="3" customFormat="1" x14ac:dyDescent="0.15"/>
    <row r="286" s="3" customFormat="1" x14ac:dyDescent="0.15"/>
    <row r="287" s="3" customFormat="1" x14ac:dyDescent="0.15"/>
    <row r="288" s="3" customFormat="1" x14ac:dyDescent="0.15"/>
    <row r="289" s="3" customFormat="1" x14ac:dyDescent="0.15"/>
    <row r="290" s="3" customFormat="1" x14ac:dyDescent="0.15"/>
    <row r="291" s="3" customFormat="1" x14ac:dyDescent="0.15"/>
    <row r="292" s="3" customFormat="1" x14ac:dyDescent="0.15"/>
    <row r="293" s="3" customFormat="1" x14ac:dyDescent="0.15"/>
    <row r="294" s="3" customFormat="1" x14ac:dyDescent="0.15"/>
    <row r="295" s="3" customFormat="1" x14ac:dyDescent="0.15"/>
    <row r="296" s="3" customFormat="1" x14ac:dyDescent="0.15"/>
    <row r="297" s="3" customFormat="1" x14ac:dyDescent="0.15"/>
    <row r="298" s="3" customFormat="1" x14ac:dyDescent="0.15"/>
    <row r="299" s="3" customFormat="1" x14ac:dyDescent="0.15"/>
    <row r="300" s="3" customFormat="1" x14ac:dyDescent="0.15"/>
    <row r="301" s="3" customFormat="1" x14ac:dyDescent="0.15"/>
    <row r="302" s="3" customFormat="1" x14ac:dyDescent="0.15"/>
    <row r="303" s="3" customFormat="1" x14ac:dyDescent="0.15"/>
    <row r="304" s="3" customFormat="1" x14ac:dyDescent="0.15"/>
    <row r="305" s="3" customFormat="1" x14ac:dyDescent="0.15"/>
    <row r="306" s="3" customFormat="1" x14ac:dyDescent="0.15"/>
    <row r="307" s="3" customFormat="1" x14ac:dyDescent="0.15"/>
    <row r="308" s="3" customFormat="1" x14ac:dyDescent="0.15"/>
    <row r="309" s="3" customFormat="1" x14ac:dyDescent="0.15"/>
    <row r="310" s="3" customFormat="1" x14ac:dyDescent="0.15"/>
    <row r="311" s="3" customFormat="1" x14ac:dyDescent="0.15"/>
    <row r="312" s="3" customFormat="1" x14ac:dyDescent="0.15"/>
    <row r="313" s="3" customFormat="1" x14ac:dyDescent="0.15"/>
    <row r="314" s="3" customFormat="1" x14ac:dyDescent="0.15"/>
    <row r="315" s="3" customFormat="1" x14ac:dyDescent="0.15"/>
    <row r="316" s="3" customFormat="1" x14ac:dyDescent="0.15"/>
    <row r="317" s="3" customFormat="1" x14ac:dyDescent="0.15"/>
    <row r="318" s="3" customFormat="1" x14ac:dyDescent="0.15"/>
    <row r="319" s="3" customFormat="1" x14ac:dyDescent="0.15"/>
    <row r="320" s="3" customFormat="1" x14ac:dyDescent="0.15"/>
    <row r="321" s="3" customFormat="1" x14ac:dyDescent="0.15"/>
    <row r="322" s="3" customFormat="1" x14ac:dyDescent="0.15"/>
    <row r="323" s="3" customFormat="1" x14ac:dyDescent="0.15"/>
    <row r="324" s="3" customFormat="1" x14ac:dyDescent="0.15"/>
    <row r="325" s="3" customFormat="1" x14ac:dyDescent="0.15"/>
    <row r="326" s="3" customFormat="1" x14ac:dyDescent="0.15"/>
    <row r="327" s="3" customFormat="1" x14ac:dyDescent="0.15"/>
    <row r="328" s="3" customFormat="1" x14ac:dyDescent="0.15"/>
    <row r="329" s="3" customFormat="1" x14ac:dyDescent="0.15"/>
    <row r="330" s="3" customFormat="1" x14ac:dyDescent="0.15"/>
    <row r="331" s="3" customFormat="1" x14ac:dyDescent="0.15"/>
    <row r="332" s="3" customFormat="1" x14ac:dyDescent="0.15"/>
    <row r="333" s="3" customFormat="1" x14ac:dyDescent="0.15"/>
    <row r="334" s="3" customFormat="1" x14ac:dyDescent="0.15"/>
    <row r="335" s="3" customFormat="1" x14ac:dyDescent="0.15"/>
    <row r="336" s="3" customFormat="1" x14ac:dyDescent="0.15"/>
  </sheetData>
  <mergeCells count="22">
    <mergeCell ref="B43:E43"/>
    <mergeCell ref="G28:H28"/>
    <mergeCell ref="B30:I30"/>
    <mergeCell ref="B16:I16"/>
    <mergeCell ref="F17:G17"/>
    <mergeCell ref="F18:G18"/>
    <mergeCell ref="F19:G19"/>
    <mergeCell ref="B21:I21"/>
    <mergeCell ref="B22:B23"/>
    <mergeCell ref="O23:Q25"/>
    <mergeCell ref="F14:H14"/>
    <mergeCell ref="B2:C6"/>
    <mergeCell ref="D2:G6"/>
    <mergeCell ref="H2:I6"/>
    <mergeCell ref="B7:C7"/>
    <mergeCell ref="B8:C8"/>
    <mergeCell ref="B10:I10"/>
    <mergeCell ref="B11:D11"/>
    <mergeCell ref="F11:H11"/>
    <mergeCell ref="B12:D12"/>
    <mergeCell ref="F12:H12"/>
    <mergeCell ref="B13:D13"/>
  </mergeCells>
  <conditionalFormatting sqref="D24:D28">
    <cfRule type="cellIs" dxfId="0" priority="1" operator="between">
      <formula>1.1</formula>
      <formula>1.7</formula>
    </cfRule>
  </conditionalFormatting>
  <pageMargins left="0.75" right="0.75" top="1" bottom="1" header="0.5" footer="0.5"/>
  <pageSetup scale="6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Ejemplo</vt:lpstr>
      <vt:lpstr>Ejemplo!Área_de_impresión</vt:lpstr>
      <vt:lpstr>Ejemplo!Print_Area_MI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Jhoana Mendoza</cp:lastModifiedBy>
  <cp:lastPrinted>2005-02-17T20:21:52Z</cp:lastPrinted>
  <dcterms:created xsi:type="dcterms:W3CDTF">2005-02-10T13:48:58Z</dcterms:created>
  <dcterms:modified xsi:type="dcterms:W3CDTF">2023-08-27T23:31:16Z</dcterms:modified>
</cp:coreProperties>
</file>