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hoana.mendoza\Downloads\"/>
    </mc:Choice>
  </mc:AlternateContent>
  <xr:revisionPtr revIDLastSave="0" documentId="13_ncr:1_{F352A0C7-F09E-4046-9515-B4289628E3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-CA1" sheetId="28" r:id="rId1"/>
    <sheet name="Listas" sheetId="20" state="hidden" r:id="rId2"/>
  </sheets>
  <definedNames>
    <definedName name="_xlnm.Print_Area" localSheetId="0">'CO-CA1'!$A$1:$O$125</definedName>
    <definedName name="Print_Area" localSheetId="0">'CO-CA1'!$B$2:$N$80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8" l="1"/>
  <c r="F110" i="28" l="1"/>
  <c r="G110" i="28"/>
  <c r="H110" i="28"/>
  <c r="I110" i="28"/>
  <c r="J110" i="28"/>
  <c r="E110" i="28"/>
  <c r="C110" i="28"/>
  <c r="F103" i="28"/>
  <c r="G103" i="28"/>
  <c r="H103" i="28"/>
  <c r="I103" i="28"/>
  <c r="J103" i="28"/>
  <c r="K103" i="28"/>
  <c r="L103" i="28"/>
  <c r="M103" i="28"/>
  <c r="N103" i="28"/>
  <c r="E103" i="28"/>
  <c r="C103" i="28"/>
  <c r="E88" i="28" l="1"/>
  <c r="J88" i="28" s="1"/>
  <c r="J86" i="28"/>
  <c r="I86" i="28"/>
  <c r="J63" i="28"/>
  <c r="M40" i="28"/>
  <c r="M43" i="28" s="1"/>
  <c r="K40" i="28"/>
  <c r="K43" i="28" s="1"/>
  <c r="I40" i="28"/>
  <c r="I43" i="28" s="1"/>
  <c r="G40" i="28"/>
  <c r="G43" i="28" s="1"/>
  <c r="E40" i="28"/>
  <c r="E43" i="28" s="1"/>
  <c r="M33" i="28"/>
  <c r="K33" i="28"/>
  <c r="I33" i="28"/>
  <c r="G33" i="28"/>
  <c r="E33" i="28"/>
  <c r="B31" i="28"/>
  <c r="L29" i="28"/>
  <c r="J23" i="28"/>
  <c r="E17" i="28"/>
  <c r="I10" i="28"/>
  <c r="G31" i="28" s="1"/>
  <c r="G32" i="28" s="1"/>
  <c r="M9" i="28"/>
  <c r="I85" i="28" s="1"/>
  <c r="G42" i="28" l="1"/>
  <c r="N10" i="28"/>
  <c r="J22" i="28"/>
  <c r="D43" i="28"/>
  <c r="E34" i="28"/>
  <c r="D45" i="28"/>
  <c r="M34" i="28"/>
  <c r="I31" i="28"/>
  <c r="I32" i="28" s="1"/>
  <c r="K31" i="28"/>
  <c r="K32" i="28" s="1"/>
  <c r="G34" i="28"/>
  <c r="E84" i="28"/>
  <c r="F22" i="28"/>
  <c r="J24" i="28"/>
  <c r="E31" i="28"/>
  <c r="E32" i="28" s="1"/>
  <c r="M31" i="28"/>
  <c r="M32" i="28" s="1"/>
  <c r="I34" i="28"/>
  <c r="D42" i="28"/>
  <c r="D44" i="28"/>
  <c r="D46" i="28"/>
  <c r="G84" i="28"/>
  <c r="I88" i="28"/>
  <c r="J10" i="28"/>
  <c r="H22" i="28"/>
  <c r="K34" i="28"/>
  <c r="E42" i="28" l="1"/>
  <c r="M42" i="28"/>
  <c r="K42" i="28"/>
  <c r="I54" i="28" s="1"/>
  <c r="I42" i="28"/>
  <c r="M54" i="28"/>
  <c r="K54" i="28"/>
  <c r="I87" i="28"/>
  <c r="J87" i="28"/>
  <c r="M44" i="28" l="1"/>
  <c r="E44" i="28"/>
  <c r="G44" i="28"/>
  <c r="K44" i="28"/>
  <c r="I44" i="28"/>
  <c r="G45" i="28" l="1"/>
  <c r="G50" i="28"/>
  <c r="G46" i="28"/>
  <c r="E46" i="28"/>
  <c r="E45" i="28"/>
  <c r="K50" i="28"/>
  <c r="K45" i="28"/>
  <c r="K46" i="28"/>
  <c r="I45" i="28"/>
  <c r="I50" i="28"/>
  <c r="I46" i="28"/>
  <c r="M46" i="28"/>
  <c r="M50" i="28"/>
  <c r="M45" i="28"/>
  <c r="K47" i="28" l="1"/>
  <c r="M47" i="28"/>
  <c r="I47" i="28"/>
  <c r="E47" i="28"/>
  <c r="G47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Fonzi Jimenez</author>
  </authors>
  <commentList>
    <comment ref="J8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Indicar contaminante, ejemplo: CO, O3, SO2</t>
        </r>
      </text>
    </comment>
    <comment ref="I9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Digitar el código interno del equipo, ejemplo: CO-001,O3-003, SO2-001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0" authorId="0" shapeId="0" xr:uid="{00000000-0006-0000-0600-000003000000}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Ingresar la resolución del equipo. Tener en cuenta el numero de decimales después de la coma que reporte el equipo, ejemplo: 0,01 ppm, 0,01 ppb, 0,1 ppb</t>
        </r>
      </text>
    </comment>
    <comment ref="L15" authorId="0" shapeId="0" xr:uid="{9D947D90-A526-4821-9218-427437E2C87A}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Se debe digitar La marca y el serían de la Botella de gas (Bala) o el equipo Generador de ozono.</t>
        </r>
      </text>
    </comment>
    <comment ref="L16" authorId="0" shapeId="0" xr:uid="{61813BA8-8B3E-491F-9BEF-552372C901BF}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Se debe digitar la Concentración (en ppm) que se reporta en el certificado de los gases patrón o equipos generador de Ozono.</t>
        </r>
      </text>
    </comment>
    <comment ref="L17" authorId="0" shapeId="0" xr:uid="{0BDB2E0B-8982-4D7D-B9DD-5BF8064AC0E9}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Se debe digitar la incertidumbre quereporta el certificado de los gases patrón o equipos generador de Ozono.</t>
        </r>
      </text>
    </comment>
    <comment ref="M23" authorId="1" shapeId="0" xr:uid="{1150C5D1-CFC4-4EAD-B81E-41B05B2B8B2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Este dato se encuentra en el certificado de calibración del generador de O3</t>
        </r>
      </text>
    </comment>
    <comment ref="N23" authorId="1" shapeId="0" xr:uid="{FA0F5490-B33A-412F-AAD1-FB7C0FD06373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sz val="9"/>
            <color indexed="81"/>
            <rFont val="Tahoma"/>
            <family val="2"/>
          </rPr>
          <t>Este dato se encuentra en el certificado de calibración del generador de O3</t>
        </r>
      </text>
    </comment>
  </commentList>
</comments>
</file>

<file path=xl/sharedStrings.xml><?xml version="1.0" encoding="utf-8"?>
<sst xmlns="http://schemas.openxmlformats.org/spreadsheetml/2006/main" count="148" uniqueCount="119">
  <si>
    <t>ESPECIFICACIONES DEL EQUIPO</t>
  </si>
  <si>
    <t>ESPECIFICACIONES DE LOS PATRÓNES</t>
  </si>
  <si>
    <t>% FE</t>
  </si>
  <si>
    <t>PROMEDIO</t>
  </si>
  <si>
    <t>INFORMACIÓN DEL SERVICIO</t>
  </si>
  <si>
    <t>Fecha:</t>
  </si>
  <si>
    <t>OT:</t>
  </si>
  <si>
    <t>Responsable:</t>
  </si>
  <si>
    <t>Marca/Modelo:</t>
  </si>
  <si>
    <t>Equipo:</t>
  </si>
  <si>
    <t>Unidad de medida:</t>
  </si>
  <si>
    <t>Código:</t>
  </si>
  <si>
    <t>Cliente:</t>
  </si>
  <si>
    <t>-</t>
  </si>
  <si>
    <t>Patrón Aire Cero</t>
  </si>
  <si>
    <t>Calibrador - Dilutor de Gases</t>
  </si>
  <si>
    <t>Gas patrón trazable</t>
  </si>
  <si>
    <t>Incertidumbre Exp. (U):</t>
  </si>
  <si>
    <t>Eliminación trazas:</t>
  </si>
  <si>
    <t>Concentración [ppm]:</t>
  </si>
  <si>
    <t>Marca/Serial:</t>
  </si>
  <si>
    <t># Medida</t>
  </si>
  <si>
    <t>Estación/Coordenada:</t>
  </si>
  <si>
    <t>Cero Gas</t>
  </si>
  <si>
    <t>Span Gas</t>
  </si>
  <si>
    <t>CALIBRACIÓN INICIAL - AJUSTE CERO/SPAN</t>
  </si>
  <si>
    <t>CHEQUEO 14 DÍAS - CHEQUEO QC</t>
  </si>
  <si>
    <t>VERIFICACIÓN MULTIPUNTO - CÁLCULOS Y CRITERIOS DE ACEPTACIÓN</t>
  </si>
  <si>
    <t>Criterio aceptación</t>
  </si>
  <si>
    <t>Dif. [%]</t>
  </si>
  <si>
    <t>CONDICONES AMBIENTALESDEL SHELTER/RESINTO</t>
  </si>
  <si>
    <t>OBSERVACIONES</t>
  </si>
  <si>
    <t>Fecha [dd-mm-aa]:</t>
  </si>
  <si>
    <t>Temperatura Max. [°C]:</t>
  </si>
  <si>
    <t>Temperatura Min. [°C]:</t>
  </si>
  <si>
    <t>Cumplimiento Criterios: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</si>
  <si>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</si>
  <si>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</si>
  <si>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</si>
  <si>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</si>
  <si>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</si>
  <si>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</si>
  <si>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</si>
  <si>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</si>
  <si>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</si>
  <si>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</si>
  <si>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</si>
  <si>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</si>
  <si>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</si>
  <si>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</si>
  <si>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</si>
  <si>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</si>
  <si>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</si>
  <si>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</si>
  <si>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</si>
  <si>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</si>
  <si>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</si>
  <si>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</si>
  <si>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</si>
  <si>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</si>
  <si>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</si>
  <si>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</si>
  <si>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</si>
  <si>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</si>
  <si>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</si>
  <si>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</si>
  <si>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</si>
  <si>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Criterio de aceptación 40 CFR, part 50</t>
  </si>
  <si>
    <r>
      <t>Criterio QA Handbook Vol II, Appendix D</t>
    </r>
    <r>
      <rPr>
        <b/>
        <vertAlign val="superscript"/>
        <sz val="9"/>
        <rFont val="Calibri"/>
        <family val="2"/>
        <scheme val="minor"/>
      </rPr>
      <t>2</t>
    </r>
  </si>
  <si>
    <r>
      <rPr>
        <i/>
        <vertAlign val="superscript"/>
        <sz val="10"/>
        <rFont val="Calibri"/>
        <family val="2"/>
        <scheme val="minor"/>
      </rPr>
      <t>2</t>
    </r>
    <r>
      <rPr>
        <i/>
        <sz val="10"/>
        <rFont val="Calibri"/>
        <family val="2"/>
        <scheme val="minor"/>
      </rPr>
      <t>Este criterio es una recomendación según lo indica el QA Handbook Vol II, Appendix D</t>
    </r>
  </si>
  <si>
    <r>
      <rPr>
        <i/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</rPr>
      <t>±</t>
    </r>
    <r>
      <rPr>
        <i/>
        <sz val="10"/>
        <rFont val="Calibri"/>
        <family val="2"/>
      </rPr>
      <t>2% SPAN</t>
    </r>
    <r>
      <rPr>
        <i/>
        <sz val="10"/>
        <rFont val="Calibri"/>
        <family val="2"/>
        <scheme val="minor"/>
      </rPr>
      <t>: ±2% concentración más alta probada, según 40 CFR, part 50</t>
    </r>
  </si>
  <si>
    <t>Pendiente (m)</t>
  </si>
  <si>
    <t>Intercepto (b)</t>
  </si>
  <si>
    <r>
      <t>R</t>
    </r>
    <r>
      <rPr>
        <b/>
        <vertAlign val="superscript"/>
        <sz val="9"/>
        <rFont val="Calibri"/>
        <family val="2"/>
        <scheme val="minor"/>
      </rPr>
      <t>2</t>
    </r>
  </si>
  <si>
    <t>Código: FO-PO-PSM-08-09</t>
  </si>
  <si>
    <t>Página 1 de 2</t>
  </si>
  <si>
    <r>
      <t>FORMATO DE CALIBRACIÓN Y MEDICIÓN DE EQUIPOS  CO, O</t>
    </r>
    <r>
      <rPr>
        <b/>
        <vertAlign val="subscript"/>
        <sz val="16"/>
        <rFont val="Calibri"/>
        <family val="2"/>
        <scheme val="minor"/>
      </rPr>
      <t>3</t>
    </r>
    <r>
      <rPr>
        <b/>
        <sz val="16"/>
        <rFont val="Calibri"/>
        <family val="2"/>
        <scheme val="minor"/>
      </rPr>
      <t xml:space="preserve"> y SO</t>
    </r>
    <r>
      <rPr>
        <b/>
        <vertAlign val="subscript"/>
        <sz val="16"/>
        <rFont val="Calibri"/>
        <family val="2"/>
        <scheme val="minor"/>
      </rPr>
      <t>2</t>
    </r>
    <r>
      <rPr>
        <b/>
        <sz val="16"/>
        <rFont val="Calibri"/>
        <family val="2"/>
        <scheme val="minor"/>
      </rPr>
      <t xml:space="preserve"> AUTOMÁTICOS</t>
    </r>
  </si>
  <si>
    <t>CO</t>
  </si>
  <si>
    <t>VERIFICACIÓN MULTIPUNTO - ANALIZADOR DE</t>
  </si>
  <si>
    <t>Salida Promedio del Calibrador</t>
  </si>
  <si>
    <t>Respuesta Analizador</t>
  </si>
  <si>
    <t>Respuesta Calculada Mejor Recta</t>
  </si>
  <si>
    <r>
      <t>Mejor Recta -2% SPAN</t>
    </r>
    <r>
      <rPr>
        <b/>
        <vertAlign val="superscript"/>
        <sz val="9"/>
        <rFont val="Calibri"/>
        <family val="2"/>
        <scheme val="minor"/>
      </rPr>
      <t>1</t>
    </r>
  </si>
  <si>
    <r>
      <t>Mejor Recta +2% SPAN</t>
    </r>
    <r>
      <rPr>
        <b/>
        <vertAlign val="superscript"/>
        <sz val="9"/>
        <rFont val="Calibri"/>
        <family val="2"/>
        <scheme val="minor"/>
      </rPr>
      <t>1</t>
    </r>
  </si>
  <si>
    <t>F. Escala:</t>
  </si>
  <si>
    <t>CURVA DE CALIBRACIÓN ANALIZADOR DE</t>
  </si>
  <si>
    <t>Resol. Analizador:</t>
  </si>
  <si>
    <t>QC Point</t>
  </si>
  <si>
    <t xml:space="preserve">           CURVA DE CALIBRACIÓN</t>
  </si>
  <si>
    <t>Analizadores</t>
  </si>
  <si>
    <t>Resolución Analizador</t>
  </si>
  <si>
    <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</si>
  <si>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SO</t>
    </r>
    <r>
      <rPr>
        <vertAlign val="subscript"/>
        <sz val="11"/>
        <color theme="1"/>
        <rFont val="Calibri"/>
        <family val="2"/>
        <scheme val="minor"/>
      </rPr>
      <t>2</t>
    </r>
  </si>
  <si>
    <t>Gas patrón Trazable</t>
  </si>
  <si>
    <t>Generador O3</t>
  </si>
  <si>
    <r>
      <t>Aceptabilidad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</si>
  <si>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rPr>
        <i/>
        <vertAlign val="superscript"/>
        <sz val="10"/>
        <rFont val="Calibri"/>
        <family val="2"/>
        <scheme val="minor"/>
      </rPr>
      <t>3</t>
    </r>
    <r>
      <rPr>
        <i/>
        <sz val="10"/>
        <rFont val="Calibri"/>
        <family val="2"/>
        <scheme val="minor"/>
      </rPr>
      <t>Revisar aceptabilidad del criterio según indica el Appendix D, QA Handbook Vol II (Critical Criterial)</t>
    </r>
  </si>
  <si>
    <t>Equipo Registro Temp:</t>
  </si>
  <si>
    <t>Código Interno:</t>
  </si>
  <si>
    <t>Datalogger Temp</t>
  </si>
  <si>
    <t>°C</t>
  </si>
  <si>
    <t>Especificaciones equipos de control de temperatura</t>
  </si>
  <si>
    <t>Tiempo de captura de datos:</t>
  </si>
  <si>
    <t>D. Estándar [°C]:</t>
  </si>
  <si>
    <t>Botella Gas Patrón CO</t>
  </si>
  <si>
    <t>Botella Gas Patrón SO2</t>
  </si>
  <si>
    <t>Precisión equipo:</t>
  </si>
  <si>
    <t>Dilutor de Gases</t>
  </si>
  <si>
    <t>UNI-T</t>
  </si>
  <si>
    <t>24h</t>
  </si>
  <si>
    <t>Aceptable</t>
  </si>
  <si>
    <t>KR0002901</t>
  </si>
  <si>
    <t>Página 2 de 2</t>
  </si>
  <si>
    <t>i</t>
  </si>
  <si>
    <t>M</t>
  </si>
  <si>
    <t>Formula Corrección O3</t>
  </si>
  <si>
    <t>O3</t>
  </si>
  <si>
    <t>Versión: 03</t>
  </si>
  <si>
    <t>Fecha: 02/11/2023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</si>
</sst>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%"/>
    <numFmt numFmtId="167" formatCode="#,##0.000"/>
    <numFmt numFmtId="168" formatCode="0.000"/>
  </numFmts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color rgb="FF4F81BD"/>
      <name val="Calibri"/>
      <family val="2"/>
      <scheme val="minor"/>
    </font>
    <font>
      <i/>
      <sz val="10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i/>
      <vertAlign val="superscript"/>
      <sz val="10"/>
      <name val="Calibri"/>
      <family val="2"/>
      <scheme val="minor"/>
    </font>
    <font>
      <sz val="10"/>
      <name val="Calibri"/>
      <family val="2"/>
    </font>
    <font>
      <i/>
      <sz val="10"/>
      <name val="Calibri"/>
      <family val="2"/>
    </font>
    <font>
      <b/>
      <vertAlign val="subscript"/>
      <sz val="16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theme="3" tint="-0.249977111117893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8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234">
    <xf numFmtId="0" fontId="0" fillId="0" borderId="0" xfId="0"/>
    <xf numFmtId="0" fontId="5" fillId="0" borderId="0" xfId="2" applyFont="1"/>
    <xf numFmtId="0" fontId="3" fillId="0" borderId="2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3" fillId="0" borderId="1" xfId="1" applyFont="1" applyBorder="1" applyAlignment="1">
      <alignment horizontal="right" vertical="center"/>
    </xf>
    <xf numFmtId="0" fontId="3" fillId="0" borderId="10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3" xfId="1" applyFont="1" applyBorder="1" applyAlignment="1">
      <alignment horizontal="right" vertical="center"/>
    </xf>
    <xf numFmtId="0" fontId="3" fillId="0" borderId="3" xfId="2" applyFont="1" applyBorder="1" applyAlignment="1">
      <alignment horizontal="right" vertical="center" wrapText="1"/>
    </xf>
    <xf numFmtId="0" fontId="3" fillId="0" borderId="6" xfId="2" applyFont="1" applyBorder="1" applyAlignment="1">
      <alignment horizontal="right" vertical="center" wrapText="1"/>
    </xf>
    <xf numFmtId="0" fontId="11" fillId="0" borderId="3" xfId="2" applyFont="1" applyBorder="1" applyAlignment="1">
      <alignment horizontal="right" vertical="center" wrapText="1"/>
    </xf>
    <xf numFmtId="0" fontId="3" fillId="0" borderId="5" xfId="2" applyFont="1" applyBorder="1" applyAlignment="1">
      <alignment horizontal="right" vertical="center" wrapText="1"/>
    </xf>
    <xf numFmtId="0" fontId="5" fillId="0" borderId="5" xfId="2" applyFont="1" applyBorder="1" applyAlignment="1">
      <alignment vertical="center" wrapText="1"/>
    </xf>
    <xf numFmtId="0" fontId="5" fillId="0" borderId="2" xfId="2" applyFont="1" applyBorder="1"/>
    <xf numFmtId="0" fontId="5" fillId="0" borderId="9" xfId="2" applyFont="1" applyBorder="1"/>
    <xf numFmtId="0" fontId="5" fillId="0" borderId="12" xfId="2" applyFont="1" applyBorder="1"/>
    <xf numFmtId="0" fontId="5" fillId="0" borderId="8" xfId="2" applyFont="1" applyBorder="1"/>
    <xf numFmtId="0" fontId="5" fillId="0" borderId="13" xfId="2" applyFont="1" applyBorder="1"/>
    <xf numFmtId="0" fontId="3" fillId="0" borderId="2" xfId="2" applyFont="1" applyBorder="1" applyAlignment="1">
      <alignment horizontal="right" vertical="center"/>
    </xf>
    <xf numFmtId="0" fontId="3" fillId="4" borderId="1" xfId="2" applyFont="1" applyFill="1" applyBorder="1" applyAlignment="1">
      <alignment horizontal="right" vertical="center"/>
    </xf>
    <xf numFmtId="0" fontId="15" fillId="0" borderId="0" xfId="0" applyFont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5" fillId="0" borderId="3" xfId="1" applyFont="1" applyBorder="1" applyAlignment="1" applyProtection="1">
      <alignment horizontal="right" vertical="center"/>
      <protection locked="0"/>
    </xf>
    <xf numFmtId="0" fontId="15" fillId="0" borderId="1" xfId="0" applyFont="1" applyBorder="1" applyAlignment="1" applyProtection="1">
      <alignment vertical="center" wrapText="1"/>
      <protection locked="0"/>
    </xf>
    <xf numFmtId="0" fontId="15" fillId="0" borderId="5" xfId="0" applyFont="1" applyBorder="1" applyAlignment="1" applyProtection="1">
      <alignment horizontal="center" vertical="center" wrapText="1"/>
      <protection locked="0"/>
    </xf>
    <xf numFmtId="0" fontId="5" fillId="0" borderId="10" xfId="2" applyFont="1" applyBorder="1" applyProtection="1">
      <protection locked="0"/>
    </xf>
    <xf numFmtId="0" fontId="5" fillId="0" borderId="7" xfId="2" applyFont="1" applyBorder="1" applyProtection="1">
      <protection locked="0"/>
    </xf>
    <xf numFmtId="0" fontId="5" fillId="0" borderId="11" xfId="2" applyFont="1" applyBorder="1" applyProtection="1">
      <protection locked="0"/>
    </xf>
    <xf numFmtId="0" fontId="5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5" fillId="0" borderId="9" xfId="2" applyFont="1" applyBorder="1" applyProtection="1">
      <protection locked="0"/>
    </xf>
    <xf numFmtId="0" fontId="5" fillId="0" borderId="12" xfId="2" applyFont="1" applyBorder="1" applyProtection="1">
      <protection locked="0"/>
    </xf>
    <xf numFmtId="0" fontId="5" fillId="0" borderId="8" xfId="2" applyFont="1" applyBorder="1" applyProtection="1">
      <protection locked="0"/>
    </xf>
    <xf numFmtId="0" fontId="5" fillId="0" borderId="13" xfId="2" applyFont="1" applyBorder="1" applyProtection="1">
      <protection locked="0"/>
    </xf>
    <xf numFmtId="0" fontId="5" fillId="0" borderId="5" xfId="2" applyFont="1" applyBorder="1" applyAlignment="1" applyProtection="1">
      <alignment horizontal="left" vertical="center" wrapText="1"/>
      <protection locked="0"/>
    </xf>
    <xf numFmtId="0" fontId="10" fillId="4" borderId="4" xfId="1" applyFont="1" applyFill="1" applyBorder="1" applyAlignment="1">
      <alignment wrapText="1"/>
    </xf>
    <xf numFmtId="0" fontId="3" fillId="0" borderId="0" xfId="2" applyFont="1"/>
    <xf numFmtId="0" fontId="3" fillId="0" borderId="0" xfId="2" applyFont="1" applyAlignment="1">
      <alignment vertical="center"/>
    </xf>
    <xf numFmtId="0" fontId="3" fillId="0" borderId="9" xfId="2" applyFont="1" applyBorder="1"/>
    <xf numFmtId="0" fontId="11" fillId="0" borderId="1" xfId="1" applyFont="1" applyBorder="1" applyAlignment="1">
      <alignment horizontal="right" vertical="center"/>
    </xf>
    <xf numFmtId="166" fontId="0" fillId="0" borderId="1" xfId="4" applyNumberFormat="1" applyFont="1" applyBorder="1" applyAlignment="1" applyProtection="1">
      <alignment horizontal="center" vertical="center" wrapText="1"/>
    </xf>
    <xf numFmtId="0" fontId="5" fillId="0" borderId="5" xfId="2" applyFont="1" applyBorder="1" applyAlignment="1">
      <alignment horizontal="left" vertical="center" wrapText="1"/>
    </xf>
    <xf numFmtId="164" fontId="5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3" fillId="0" borderId="8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5" fillId="0" borderId="3" xfId="2" applyFont="1" applyBorder="1" applyAlignment="1" applyProtection="1">
      <alignment horizontal="center" vertical="center" wrapText="1"/>
      <protection locked="0"/>
    </xf>
    <xf numFmtId="0" fontId="5" fillId="0" borderId="2" xfId="2" applyFont="1" applyBorder="1" applyAlignment="1">
      <alignment horizontal="center"/>
    </xf>
    <xf numFmtId="0" fontId="5" fillId="0" borderId="0" xfId="2" applyFont="1" applyAlignment="1">
      <alignment horizontal="center"/>
    </xf>
    <xf numFmtId="0" fontId="5" fillId="0" borderId="9" xfId="2" applyFont="1" applyBorder="1" applyAlignment="1">
      <alignment horizontal="center"/>
    </xf>
    <xf numFmtId="4" fontId="0" fillId="0" borderId="1" xfId="0" applyNumberFormat="1" applyBorder="1" applyAlignment="1">
      <alignment horizontal="center" vertical="center" wrapText="1"/>
    </xf>
    <xf numFmtId="0" fontId="16" fillId="0" borderId="2" xfId="2" applyFont="1" applyBorder="1" applyAlignment="1">
      <alignment horizontal="left"/>
    </xf>
    <xf numFmtId="0" fontId="16" fillId="0" borderId="0" xfId="2" applyFont="1" applyAlignment="1">
      <alignment horizontal="left"/>
    </xf>
    <xf numFmtId="0" fontId="11" fillId="2" borderId="5" xfId="0" applyFont="1" applyFill="1" applyBorder="1" applyAlignment="1">
      <alignment horizontal="right" vertical="center" wrapText="1"/>
    </xf>
    <xf numFmtId="0" fontId="3" fillId="0" borderId="1" xfId="2" applyFont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/>
    </xf>
    <xf numFmtId="14" fontId="12" fillId="0" borderId="3" xfId="2" applyNumberFormat="1" applyFont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2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1" xfId="1" applyFont="1" applyBorder="1" applyAlignment="1" applyProtection="1">
      <alignment horizontal="center" vertical="center"/>
      <protection locked="0"/>
    </xf>
    <xf numFmtId="0" fontId="3" fillId="4" borderId="3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164" fontId="10" fillId="4" borderId="3" xfId="1" applyNumberFormat="1" applyFont="1" applyFill="1" applyBorder="1" applyAlignment="1">
      <alignment horizontal="center" vertical="center"/>
    </xf>
    <xf numFmtId="164" fontId="10" fillId="4" borderId="5" xfId="1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5" fillId="0" borderId="10" xfId="2" applyFont="1" applyBorder="1" applyAlignment="1">
      <alignment horizontal="center"/>
    </xf>
    <xf numFmtId="0" fontId="5" fillId="0" borderId="7" xfId="2" applyFont="1" applyBorder="1" applyAlignment="1">
      <alignment horizontal="center"/>
    </xf>
    <xf numFmtId="0" fontId="5" fillId="0" borderId="11" xfId="2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5" fillId="0" borderId="0" xfId="2" applyFont="1" applyAlignment="1">
      <alignment horizontal="center"/>
    </xf>
    <xf numFmtId="0" fontId="5" fillId="0" borderId="9" xfId="2" applyFont="1" applyBorder="1" applyAlignment="1">
      <alignment horizontal="center"/>
    </xf>
    <xf numFmtId="0" fontId="5" fillId="0" borderId="12" xfId="2" applyFont="1" applyBorder="1" applyAlignment="1">
      <alignment horizontal="center"/>
    </xf>
    <xf numFmtId="0" fontId="5" fillId="0" borderId="8" xfId="2" applyFont="1" applyBorder="1" applyAlignment="1">
      <alignment horizontal="center"/>
    </xf>
    <xf numFmtId="0" fontId="5" fillId="0" borderId="13" xfId="2" applyFont="1" applyBorder="1" applyAlignment="1">
      <alignment horizontal="center"/>
    </xf>
    <xf numFmtId="0" fontId="4" fillId="0" borderId="10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0" fontId="12" fillId="3" borderId="10" xfId="2" applyFont="1" applyFill="1" applyBorder="1" applyAlignment="1" applyProtection="1">
      <alignment horizontal="left" vertical="center"/>
      <protection locked="0"/>
    </xf>
    <xf numFmtId="0" fontId="12" fillId="3" borderId="11" xfId="2" applyFont="1" applyFill="1" applyBorder="1" applyAlignment="1" applyProtection="1">
      <alignment horizontal="left" vertical="center"/>
      <protection locked="0"/>
    </xf>
    <xf numFmtId="0" fontId="29" fillId="3" borderId="2" xfId="2" applyFont="1" applyFill="1" applyBorder="1" applyAlignment="1">
      <alignment horizontal="left" vertical="center"/>
    </xf>
    <xf numFmtId="0" fontId="29" fillId="3" borderId="9" xfId="2" applyFont="1" applyFill="1" applyBorder="1" applyAlignment="1">
      <alignment horizontal="left" vertical="center"/>
    </xf>
    <xf numFmtId="0" fontId="12" fillId="3" borderId="2" xfId="2" applyFont="1" applyFill="1" applyBorder="1" applyAlignment="1" applyProtection="1">
      <alignment horizontal="left" vertical="center"/>
      <protection locked="0"/>
    </xf>
    <xf numFmtId="0" fontId="12" fillId="3" borderId="9" xfId="2" applyFont="1" applyFill="1" applyBorder="1" applyAlignment="1" applyProtection="1">
      <alignment horizontal="left" vertical="center"/>
      <protection locked="0"/>
    </xf>
    <xf numFmtId="0" fontId="29" fillId="3" borderId="12" xfId="2" applyFont="1" applyFill="1" applyBorder="1" applyAlignment="1">
      <alignment horizontal="left" vertical="center"/>
    </xf>
    <xf numFmtId="0" fontId="29" fillId="3" borderId="13" xfId="2" applyFont="1" applyFill="1" applyBorder="1" applyAlignment="1">
      <alignment horizontal="left" vertical="center"/>
    </xf>
    <xf numFmtId="0" fontId="13" fillId="2" borderId="3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2" borderId="7" xfId="1" applyFont="1" applyFill="1" applyBorder="1" applyAlignment="1">
      <alignment horizontal="center" vertical="center"/>
    </xf>
    <xf numFmtId="0" fontId="13" fillId="2" borderId="5" xfId="1" applyFont="1" applyFill="1" applyBorder="1" applyAlignment="1">
      <alignment horizontal="center" vertical="center"/>
    </xf>
    <xf numFmtId="0" fontId="5" fillId="0" borderId="3" xfId="2" applyFont="1" applyBorder="1" applyAlignment="1" applyProtection="1">
      <alignment horizontal="center" vertical="center" wrapText="1"/>
      <protection locked="0"/>
    </xf>
    <xf numFmtId="0" fontId="5" fillId="0" borderId="4" xfId="2" applyFont="1" applyBorder="1" applyAlignment="1" applyProtection="1">
      <alignment horizontal="center" vertical="center" wrapText="1"/>
      <protection locked="0"/>
    </xf>
    <xf numFmtId="0" fontId="5" fillId="0" borderId="5" xfId="2" applyFont="1" applyBorder="1" applyAlignment="1" applyProtection="1">
      <alignment horizontal="center" vertical="center" wrapText="1"/>
      <protection locked="0"/>
    </xf>
    <xf numFmtId="0" fontId="3" fillId="0" borderId="5" xfId="1" applyFont="1" applyBorder="1" applyAlignment="1">
      <alignment horizontal="right" vertical="center"/>
    </xf>
    <xf numFmtId="0" fontId="3" fillId="0" borderId="1" xfId="1" applyFont="1" applyBorder="1" applyAlignment="1">
      <alignment horizontal="right" vertical="center"/>
    </xf>
    <xf numFmtId="0" fontId="5" fillId="0" borderId="1" xfId="2" applyFont="1" applyBorder="1" applyAlignment="1" applyProtection="1">
      <alignment horizontal="center" vertical="center" wrapText="1"/>
      <protection locked="0"/>
    </xf>
    <xf numFmtId="14" fontId="8" fillId="0" borderId="2" xfId="3" applyNumberFormat="1" applyFont="1" applyBorder="1" applyAlignment="1">
      <alignment horizontal="center" vertical="center"/>
    </xf>
    <xf numFmtId="14" fontId="8" fillId="0" borderId="0" xfId="3" applyNumberFormat="1" applyFont="1" applyAlignment="1">
      <alignment horizontal="center" vertical="center"/>
    </xf>
    <xf numFmtId="14" fontId="8" fillId="0" borderId="9" xfId="3" applyNumberFormat="1" applyFont="1" applyBorder="1" applyAlignment="1">
      <alignment horizontal="center" vertical="center"/>
    </xf>
    <xf numFmtId="0" fontId="11" fillId="0" borderId="3" xfId="1" applyFont="1" applyBorder="1" applyAlignment="1">
      <alignment horizontal="right" vertical="center"/>
    </xf>
    <xf numFmtId="0" fontId="11" fillId="0" borderId="5" xfId="1" applyFont="1" applyBorder="1" applyAlignment="1">
      <alignment horizontal="right" vertical="center"/>
    </xf>
    <xf numFmtId="0" fontId="5" fillId="0" borderId="3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right" vertical="center" wrapText="1"/>
    </xf>
    <xf numFmtId="0" fontId="5" fillId="0" borderId="4" xfId="2" applyFont="1" applyBorder="1" applyAlignment="1">
      <alignment horizontal="right" vertical="center" wrapText="1"/>
    </xf>
    <xf numFmtId="10" fontId="5" fillId="0" borderId="3" xfId="2" applyNumberFormat="1" applyFont="1" applyBorder="1" applyAlignment="1" applyProtection="1">
      <alignment horizontal="center" vertical="center" wrapText="1"/>
      <protection locked="0"/>
    </xf>
    <xf numFmtId="10" fontId="5" fillId="0" borderId="4" xfId="2" applyNumberFormat="1" applyFont="1" applyBorder="1" applyAlignment="1" applyProtection="1">
      <alignment horizontal="center" vertical="center" wrapText="1"/>
      <protection locked="0"/>
    </xf>
    <xf numFmtId="166" fontId="5" fillId="0" borderId="3" xfId="2" applyNumberFormat="1" applyFont="1" applyBorder="1" applyAlignment="1" applyProtection="1">
      <alignment horizontal="center" vertical="center" wrapText="1"/>
      <protection locked="0"/>
    </xf>
    <xf numFmtId="166" fontId="5" fillId="0" borderId="4" xfId="2" applyNumberFormat="1" applyFont="1" applyBorder="1" applyAlignment="1" applyProtection="1">
      <alignment horizontal="center" vertical="center" wrapText="1"/>
      <protection locked="0"/>
    </xf>
    <xf numFmtId="166" fontId="5" fillId="0" borderId="5" xfId="2" applyNumberFormat="1" applyFont="1" applyBorder="1" applyAlignment="1" applyProtection="1">
      <alignment horizontal="center" vertical="center" wrapText="1"/>
      <protection locked="0"/>
    </xf>
    <xf numFmtId="0" fontId="5" fillId="0" borderId="14" xfId="2" applyFont="1" applyBorder="1" applyAlignment="1" applyProtection="1">
      <alignment horizontal="center" vertical="center" wrapText="1"/>
      <protection locked="0"/>
    </xf>
    <xf numFmtId="0" fontId="3" fillId="0" borderId="1" xfId="2" applyFont="1" applyBorder="1" applyAlignment="1">
      <alignment horizontal="right" vertical="center"/>
    </xf>
    <xf numFmtId="0" fontId="5" fillId="0" borderId="1" xfId="2" applyFont="1" applyBorder="1" applyAlignment="1">
      <alignment horizontal="center" vertical="center" wrapText="1"/>
    </xf>
    <xf numFmtId="0" fontId="3" fillId="0" borderId="3" xfId="2" applyFont="1" applyBorder="1" applyAlignment="1" applyProtection="1">
      <alignment horizontal="center" vertical="center" wrapText="1"/>
      <protection locked="0"/>
    </xf>
    <xf numFmtId="0" fontId="3" fillId="0" borderId="5" xfId="2" applyFont="1" applyBorder="1" applyAlignment="1">
      <alignment horizontal="right" vertical="center"/>
    </xf>
    <xf numFmtId="0" fontId="3" fillId="0" borderId="12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/>
    </xf>
    <xf numFmtId="2" fontId="9" fillId="0" borderId="1" xfId="2" applyNumberFormat="1" applyFont="1" applyBorder="1" applyAlignment="1">
      <alignment horizontal="center"/>
    </xf>
    <xf numFmtId="4" fontId="0" fillId="0" borderId="1" xfId="0" applyNumberFormat="1" applyBorder="1" applyAlignment="1">
      <alignment horizontal="center" vertical="center" wrapText="1"/>
    </xf>
    <xf numFmtId="0" fontId="14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5" xfId="1" applyFont="1" applyFill="1" applyBorder="1" applyAlignment="1">
      <alignment horizontal="center" vertical="center"/>
    </xf>
    <xf numFmtId="0" fontId="10" fillId="4" borderId="3" xfId="1" applyFont="1" applyFill="1" applyBorder="1" applyAlignment="1">
      <alignment horizontal="right" wrapText="1"/>
    </xf>
    <xf numFmtId="0" fontId="10" fillId="4" borderId="4" xfId="1" applyFont="1" applyFill="1" applyBorder="1" applyAlignment="1">
      <alignment horizontal="right" wrapText="1"/>
    </xf>
    <xf numFmtId="0" fontId="10" fillId="4" borderId="4" xfId="1" applyFont="1" applyFill="1" applyBorder="1" applyAlignment="1">
      <alignment horizontal="center" vertical="center" wrapText="1"/>
    </xf>
    <xf numFmtId="0" fontId="10" fillId="4" borderId="5" xfId="1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wrapText="1"/>
    </xf>
    <xf numFmtId="167" fontId="0" fillId="0" borderId="1" xfId="0" applyNumberFormat="1" applyBorder="1" applyAlignment="1" applyProtection="1">
      <alignment horizontal="center" vertical="center" wrapText="1"/>
      <protection locked="0"/>
    </xf>
    <xf numFmtId="0" fontId="3" fillId="4" borderId="15" xfId="1" applyFont="1" applyFill="1" applyBorder="1" applyAlignment="1">
      <alignment horizontal="center" vertical="center" wrapText="1"/>
    </xf>
    <xf numFmtId="164" fontId="10" fillId="4" borderId="10" xfId="1" applyNumberFormat="1" applyFont="1" applyFill="1" applyBorder="1" applyAlignment="1">
      <alignment horizontal="center" vertical="center"/>
    </xf>
    <xf numFmtId="164" fontId="10" fillId="4" borderId="11" xfId="1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164" fontId="3" fillId="4" borderId="3" xfId="1" applyNumberFormat="1" applyFont="1" applyFill="1" applyBorder="1" applyAlignment="1">
      <alignment horizontal="center" vertical="center"/>
    </xf>
    <xf numFmtId="164" fontId="3" fillId="4" borderId="5" xfId="1" applyNumberFormat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0" fontId="3" fillId="4" borderId="13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/>
    </xf>
    <xf numFmtId="2" fontId="0" fillId="0" borderId="3" xfId="0" applyNumberFormat="1" applyBorder="1" applyAlignment="1" applyProtection="1">
      <alignment horizontal="center" vertical="center"/>
      <protection locked="0"/>
    </xf>
    <xf numFmtId="2" fontId="0" fillId="0" borderId="5" xfId="0" applyNumberFormat="1" applyBorder="1" applyAlignment="1" applyProtection="1">
      <alignment horizontal="center" vertical="center"/>
      <protection locked="0"/>
    </xf>
    <xf numFmtId="0" fontId="3" fillId="4" borderId="15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right" vertical="center" wrapText="1"/>
    </xf>
    <xf numFmtId="0" fontId="11" fillId="2" borderId="4" xfId="0" applyFont="1" applyFill="1" applyBorder="1" applyAlignment="1">
      <alignment horizontal="right" vertical="center" wrapText="1"/>
    </xf>
    <xf numFmtId="2" fontId="7" fillId="0" borderId="3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8" fontId="3" fillId="2" borderId="3" xfId="1" applyNumberFormat="1" applyFont="1" applyFill="1" applyBorder="1" applyAlignment="1">
      <alignment horizontal="center" vertical="center"/>
    </xf>
    <xf numFmtId="168" fontId="3" fillId="2" borderId="5" xfId="1" applyNumberFormat="1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vertical="center"/>
    </xf>
    <xf numFmtId="2" fontId="26" fillId="0" borderId="3" xfId="0" applyNumberFormat="1" applyFont="1" applyBorder="1" applyAlignment="1">
      <alignment horizontal="center" vertical="center"/>
    </xf>
    <xf numFmtId="2" fontId="26" fillId="0" borderId="5" xfId="0" applyNumberFormat="1" applyFont="1" applyBorder="1" applyAlignment="1">
      <alignment horizontal="center" vertical="center"/>
    </xf>
    <xf numFmtId="2" fontId="3" fillId="5" borderId="3" xfId="0" applyNumberFormat="1" applyFont="1" applyFill="1" applyBorder="1" applyAlignment="1">
      <alignment horizontal="center" vertical="center"/>
    </xf>
    <xf numFmtId="2" fontId="3" fillId="5" borderId="5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right" vertical="center"/>
    </xf>
    <xf numFmtId="0" fontId="11" fillId="2" borderId="4" xfId="0" applyFont="1" applyFill="1" applyBorder="1" applyAlignment="1">
      <alignment horizontal="right" vertical="center"/>
    </xf>
    <xf numFmtId="2" fontId="3" fillId="6" borderId="3" xfId="0" applyNumberFormat="1" applyFont="1" applyFill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center" vertical="center"/>
    </xf>
    <xf numFmtId="0" fontId="16" fillId="0" borderId="2" xfId="2" applyFont="1" applyBorder="1" applyAlignment="1">
      <alignment horizontal="left"/>
    </xf>
    <xf numFmtId="0" fontId="16" fillId="0" borderId="0" xfId="2" applyFont="1" applyAlignment="1">
      <alignment horizontal="left"/>
    </xf>
    <xf numFmtId="0" fontId="16" fillId="0" borderId="9" xfId="2" applyFont="1" applyBorder="1" applyAlignment="1">
      <alignment horizontal="left"/>
    </xf>
    <xf numFmtId="0" fontId="11" fillId="2" borderId="5" xfId="0" applyFont="1" applyFill="1" applyBorder="1" applyAlignment="1">
      <alignment horizontal="right" vertical="center" wrapText="1"/>
    </xf>
    <xf numFmtId="9" fontId="3" fillId="0" borderId="3" xfId="4" applyFont="1" applyBorder="1" applyAlignment="1" applyProtection="1">
      <alignment horizontal="center"/>
    </xf>
    <xf numFmtId="9" fontId="3" fillId="0" borderId="5" xfId="4" applyFont="1" applyBorder="1" applyAlignment="1" applyProtection="1">
      <alignment horizontal="center"/>
    </xf>
    <xf numFmtId="10" fontId="3" fillId="0" borderId="3" xfId="4" applyNumberFormat="1" applyFont="1" applyBorder="1" applyAlignment="1" applyProtection="1">
      <alignment horizontal="center"/>
    </xf>
    <xf numFmtId="10" fontId="3" fillId="0" borderId="5" xfId="4" applyNumberFormat="1" applyFont="1" applyBorder="1" applyAlignment="1" applyProtection="1">
      <alignment horizont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/>
    </xf>
    <xf numFmtId="0" fontId="3" fillId="4" borderId="3" xfId="2" applyFont="1" applyFill="1" applyBorder="1" applyAlignment="1">
      <alignment horizontal="center" vertical="center"/>
    </xf>
    <xf numFmtId="0" fontId="3" fillId="4" borderId="5" xfId="2" applyFont="1" applyFill="1" applyBorder="1" applyAlignment="1">
      <alignment horizontal="center" vertical="center"/>
    </xf>
    <xf numFmtId="4" fontId="0" fillId="0" borderId="1" xfId="0" applyNumberFormat="1" applyBorder="1" applyAlignment="1" applyProtection="1">
      <alignment horizontal="center" vertical="center" wrapText="1"/>
      <protection locked="0"/>
    </xf>
    <xf numFmtId="0" fontId="5" fillId="0" borderId="1" xfId="1" applyFont="1" applyBorder="1" applyAlignment="1" applyProtection="1">
      <alignment horizontal="center" vertical="center"/>
      <protection locked="0"/>
    </xf>
    <xf numFmtId="0" fontId="3" fillId="4" borderId="10" xfId="2" applyFont="1" applyFill="1" applyBorder="1" applyAlignment="1">
      <alignment horizontal="center" vertical="center" wrapText="1"/>
    </xf>
    <xf numFmtId="0" fontId="3" fillId="4" borderId="11" xfId="2" applyFont="1" applyFill="1" applyBorder="1" applyAlignment="1">
      <alignment horizontal="center" vertical="center" wrapText="1"/>
    </xf>
    <xf numFmtId="0" fontId="3" fillId="4" borderId="12" xfId="2" applyFont="1" applyFill="1" applyBorder="1" applyAlignment="1">
      <alignment horizontal="center" vertical="center" wrapText="1"/>
    </xf>
    <xf numFmtId="0" fontId="3" fillId="4" borderId="13" xfId="2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3" fillId="0" borderId="3" xfId="2" applyFont="1" applyBorder="1" applyAlignment="1">
      <alignment horizontal="right" vertical="center"/>
    </xf>
    <xf numFmtId="0" fontId="3" fillId="0" borderId="4" xfId="2" applyFont="1" applyBorder="1" applyAlignment="1">
      <alignment horizontal="right" vertical="center"/>
    </xf>
    <xf numFmtId="0" fontId="5" fillId="0" borderId="3" xfId="2" applyFont="1" applyBorder="1" applyAlignment="1" applyProtection="1">
      <alignment horizontal="center" vertical="center"/>
      <protection locked="0"/>
    </xf>
    <xf numFmtId="0" fontId="5" fillId="0" borderId="5" xfId="2" applyFont="1" applyBorder="1" applyAlignment="1" applyProtection="1">
      <alignment horizontal="center" vertical="center"/>
      <protection locked="0"/>
    </xf>
    <xf numFmtId="0" fontId="3" fillId="0" borderId="1" xfId="2" applyFont="1" applyBorder="1" applyAlignment="1">
      <alignment horizontal="center"/>
    </xf>
    <xf numFmtId="0" fontId="19" fillId="0" borderId="1" xfId="2" applyFont="1" applyBorder="1" applyAlignment="1" applyProtection="1">
      <alignment horizontal="center"/>
      <protection locked="0"/>
    </xf>
    <xf numFmtId="0" fontId="5" fillId="0" borderId="1" xfId="2" applyFont="1" applyBorder="1" applyAlignment="1" applyProtection="1">
      <alignment horizontal="center"/>
      <protection locked="0"/>
    </xf>
    <xf numFmtId="0" fontId="6" fillId="4" borderId="1" xfId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4" fontId="5" fillId="0" borderId="3" xfId="0" applyNumberFormat="1" applyFont="1" applyBorder="1" applyAlignment="1" applyProtection="1">
      <alignment horizontal="center" vertical="center" wrapText="1"/>
      <protection locked="0"/>
    </xf>
    <xf numFmtId="14" fontId="5" fillId="0" borderId="5" xfId="0" applyNumberFormat="1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14" fontId="5" fillId="0" borderId="3" xfId="2" applyNumberFormat="1" applyFont="1" applyBorder="1" applyAlignment="1">
      <alignment horizontal="center" vertical="center"/>
    </xf>
    <xf numFmtId="164" fontId="5" fillId="0" borderId="3" xfId="0" applyNumberFormat="1" applyFont="1" applyBorder="1" applyAlignment="1" applyProtection="1">
      <alignment horizontal="center" vertical="center" wrapText="1"/>
      <protection locked="0"/>
    </xf>
    <xf numFmtId="164" fontId="5" fillId="0" borderId="5" xfId="0" applyNumberFormat="1" applyFont="1" applyBorder="1" applyAlignment="1" applyProtection="1">
      <alignment horizontal="center" vertical="center" wrapText="1"/>
      <protection locked="0"/>
    </xf>
    <xf numFmtId="0" fontId="5" fillId="0" borderId="1" xfId="2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Porcentaje" xfId="4" builtinId="5"/>
  </cellStyles>
  <dxfs count="0"/>
  <tableStyles count="0" defaultTableStyle="TableStyleMedium2" defaultPivotStyle="PivotStyleLight16"/>
  <colors>
    <mruColors>
      <color rgb="FF00FF00"/>
      <color rgb="FFC0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82374318594789"/>
          <c:y val="6.8619008830792708E-2"/>
          <c:w val="0.85266276330843271"/>
          <c:h val="0.79140238935650287"/>
        </c:manualLayout>
      </c:layout>
      <c:scatterChart>
        <c:scatterStyle val="smoothMarker"/>
        <c:varyColors val="0"/>
        <c:ser>
          <c:idx val="0"/>
          <c:order val="0"/>
          <c:tx>
            <c:v>Datos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trendline>
            <c:spPr>
              <a:ln w="9525" cap="rnd">
                <a:solidFill>
                  <a:schemeClr val="tx1">
                    <a:lumMod val="75000"/>
                    <a:lumOff val="25000"/>
                  </a:schemeClr>
                </a:solidFill>
                <a:prstDash val="lg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305727168719295"/>
                  <c:y val="0.134993470643755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'CO-CA1'!$E$42:$N$42</c:f>
              <c:numCache>
                <c:formatCode>0.00</c:formatCode>
                <c:ptCount val="10"/>
                <c:pt idx="0">
                  <c:v>0</c:v>
                </c:pt>
                <c:pt idx="2">
                  <c:v>100</c:v>
                </c:pt>
                <c:pt idx="4">
                  <c:v>200</c:v>
                </c:pt>
                <c:pt idx="6">
                  <c:v>300</c:v>
                </c:pt>
                <c:pt idx="8">
                  <c:v>400</c:v>
                </c:pt>
              </c:numCache>
            </c:numRef>
          </c:xVal>
          <c:yVal>
            <c:numRef>
              <c:f>'CO-CA1'!$E$43:$N$43</c:f>
              <c:numCache>
                <c:formatCode>0.00</c:formatCode>
                <c:ptCount val="10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26-4A33-8C5F-C1481C60A37D}"/>
            </c:ext>
          </c:extLst>
        </c:ser>
        <c:ser>
          <c:idx val="2"/>
          <c:order val="2"/>
          <c:tx>
            <c:v>"+2%"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'CO-CA1'!$E$42:$N$42</c:f>
              <c:numCache>
                <c:formatCode>0.00</c:formatCode>
                <c:ptCount val="10"/>
                <c:pt idx="0">
                  <c:v>0</c:v>
                </c:pt>
                <c:pt idx="2">
                  <c:v>100</c:v>
                </c:pt>
                <c:pt idx="4">
                  <c:v>200</c:v>
                </c:pt>
                <c:pt idx="6">
                  <c:v>300</c:v>
                </c:pt>
                <c:pt idx="8">
                  <c:v>400</c:v>
                </c:pt>
              </c:numCache>
            </c:numRef>
          </c:xVal>
          <c:yVal>
            <c:numRef>
              <c:f>'CO-CA1'!$E$46:$N$46</c:f>
              <c:numCache>
                <c:formatCode>0.00</c:formatCode>
                <c:ptCount val="10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26-4A33-8C5F-C1481C60A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259296"/>
        <c:axId val="572124496"/>
      </c:scatterChart>
      <c:scatterChart>
        <c:scatterStyle val="lineMarker"/>
        <c:varyColors val="0"/>
        <c:ser>
          <c:idx val="1"/>
          <c:order val="1"/>
          <c:tx>
            <c:v>"-2%"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'CO-CA1'!$E$42:$N$42</c:f>
              <c:numCache>
                <c:formatCode>0.00</c:formatCode>
                <c:ptCount val="10"/>
                <c:pt idx="0">
                  <c:v>0</c:v>
                </c:pt>
                <c:pt idx="2">
                  <c:v>100</c:v>
                </c:pt>
                <c:pt idx="4">
                  <c:v>200</c:v>
                </c:pt>
                <c:pt idx="6">
                  <c:v>300</c:v>
                </c:pt>
                <c:pt idx="8">
                  <c:v>400</c:v>
                </c:pt>
              </c:numCache>
            </c:numRef>
          </c:xVal>
          <c:yVal>
            <c:numRef>
              <c:f>'CO-CA1'!$E$45:$N$45</c:f>
              <c:numCache>
                <c:formatCode>0.00</c:formatCode>
                <c:ptCount val="10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26-4A33-8C5F-C1481C60A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259296"/>
        <c:axId val="572124496"/>
      </c:scatterChart>
      <c:valAx>
        <c:axId val="73825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SALIDA PROMEDIO DEL CALIBRDOR</a:t>
                </a:r>
              </a:p>
            </c:rich>
          </c:tx>
          <c:layout>
            <c:manualLayout>
              <c:xMode val="edge"/>
              <c:yMode val="edge"/>
              <c:x val="0.39161195235210977"/>
              <c:y val="0.92326131647337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2124496"/>
        <c:crosses val="autoZero"/>
        <c:crossBetween val="midCat"/>
      </c:valAx>
      <c:valAx>
        <c:axId val="572124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RESPUESTA DEL ANALIZADOR</a:t>
                </a:r>
              </a:p>
            </c:rich>
          </c:tx>
          <c:layout>
            <c:manualLayout>
              <c:xMode val="edge"/>
              <c:yMode val="edge"/>
              <c:x val="1.4867353119321622E-2"/>
              <c:y val="0.230284755389182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825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635000</xdr:colOff>
      <xdr:row>63</xdr:row>
      <xdr:rowOff>6350</xdr:rowOff>
    </xdr:from>
    <xdr:to>
      <xdr:col>12</xdr:col>
      <xdr:colOff>431800</xdr:colOff>
      <xdr:row>79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628650</xdr:colOff>
      <xdr:row>1</xdr:row>
      <xdr:rowOff>76201</xdr:rowOff>
    </xdr:from>
    <xdr:to>
      <xdr:col>2</xdr:col>
      <xdr:colOff>66675</xdr:colOff>
      <xdr:row>4</xdr:row>
      <xdr:rowOff>175517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0156B9F-5FFD-46A6-BA6B-02E979B6A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180976"/>
          <a:ext cx="714375" cy="670816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685800</xdr:colOff>
      <xdr:row>56</xdr:row>
      <xdr:rowOff>57150</xdr:rowOff>
    </xdr:from>
    <xdr:to>
      <xdr:col>2</xdr:col>
      <xdr:colOff>123825</xdr:colOff>
      <xdr:row>59</xdr:row>
      <xdr:rowOff>156466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5E1AAB-70C1-47C9-9470-FEC97CBD7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9410700"/>
          <a:ext cx="714375" cy="6708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125"/>
  <sheetViews>
    <sheetView showGridLines="0" tabSelected="1" view="pageBreakPreview" zoomScaleNormal="55" zoomScaleSheetLayoutView="100" zoomScalePageLayoutView="55" workbookViewId="0">
      <selection activeCell="M59" sqref="M59:N59"/>
    </sheetView>
  </sheetViews>
  <sheetFormatPr baseColWidth="10" defaultColWidth="11.42578125" defaultRowHeight="12.75" x14ac:dyDescent="0.2"/>
  <cols>
    <col min="1" max="1" width="1.7109375" style="1" customWidth="1"/>
    <col min="2" max="2" width="19.140625" style="1" customWidth="1"/>
    <col min="3" max="3" width="5.140625" style="1" customWidth="1"/>
    <col min="4" max="4" width="6.42578125" style="1" customWidth="1"/>
    <col min="5" max="5" width="12.140625" style="1" customWidth="1"/>
    <col min="6" max="6" width="11" style="1" customWidth="1"/>
    <col min="7" max="7" width="10.5703125" style="1" customWidth="1"/>
    <col min="8" max="8" width="12.7109375" style="1" customWidth="1"/>
    <col min="9" max="9" width="10.28515625" style="1" customWidth="1"/>
    <col min="10" max="10" width="10.5703125" style="1" customWidth="1"/>
    <col min="11" max="11" width="10.28515625" style="1" customWidth="1"/>
    <col min="12" max="12" width="10.7109375" style="1" customWidth="1"/>
    <col min="13" max="13" width="10.42578125" style="1" customWidth="1"/>
    <col min="14" max="14" width="10.28515625" style="1" customWidth="1"/>
    <col min="15" max="15" width="2" style="1" customWidth="1"/>
    <col min="16" max="16384" width="11.42578125" style="1"/>
  </cols>
  <sheetData>
    <row r="1" spans="2:14" ht="8.4499999999999993" customHeight="1" x14ac:dyDescent="0.2"/>
    <row r="2" spans="2:14" ht="15" customHeight="1" x14ac:dyDescent="0.2">
      <c r="B2" s="75"/>
      <c r="C2" s="76"/>
      <c r="D2" s="77"/>
      <c r="E2" s="84" t="s">
        <v>76</v>
      </c>
      <c r="F2" s="85"/>
      <c r="G2" s="85"/>
      <c r="H2" s="85"/>
      <c r="I2" s="85"/>
      <c r="J2" s="85"/>
      <c r="K2" s="85"/>
      <c r="L2" s="86"/>
      <c r="M2" s="93" t="s">
        <v>74</v>
      </c>
      <c r="N2" s="94"/>
    </row>
    <row r="3" spans="2:14" ht="15" customHeight="1" x14ac:dyDescent="0.2">
      <c r="B3" s="78"/>
      <c r="C3" s="79"/>
      <c r="D3" s="80"/>
      <c r="E3" s="87"/>
      <c r="F3" s="88"/>
      <c r="G3" s="88"/>
      <c r="H3" s="88"/>
      <c r="I3" s="88"/>
      <c r="J3" s="88"/>
      <c r="K3" s="88"/>
      <c r="L3" s="89"/>
      <c r="M3" s="95" t="s">
        <v>117</v>
      </c>
      <c r="N3" s="96"/>
    </row>
    <row r="4" spans="2:14" ht="15" customHeight="1" x14ac:dyDescent="0.2">
      <c r="B4" s="78"/>
      <c r="C4" s="79"/>
      <c r="D4" s="80"/>
      <c r="E4" s="87"/>
      <c r="F4" s="88"/>
      <c r="G4" s="88"/>
      <c r="H4" s="88"/>
      <c r="I4" s="88"/>
      <c r="J4" s="88"/>
      <c r="K4" s="88"/>
      <c r="L4" s="89"/>
      <c r="M4" s="97" t="s">
        <v>118</v>
      </c>
      <c r="N4" s="98"/>
    </row>
    <row r="5" spans="2:14" ht="15" customHeight="1" x14ac:dyDescent="0.2">
      <c r="B5" s="81"/>
      <c r="C5" s="82"/>
      <c r="D5" s="83"/>
      <c r="E5" s="90"/>
      <c r="F5" s="91"/>
      <c r="G5" s="91"/>
      <c r="H5" s="91"/>
      <c r="I5" s="91"/>
      <c r="J5" s="91"/>
      <c r="K5" s="91"/>
      <c r="L5" s="92"/>
      <c r="M5" s="99" t="s">
        <v>75</v>
      </c>
      <c r="N5" s="100"/>
    </row>
    <row r="6" spans="2:14" ht="3.95" customHeight="1" x14ac:dyDescent="0.2"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</row>
    <row r="7" spans="2:14" ht="18" customHeight="1" x14ac:dyDescent="0.2">
      <c r="B7" s="101" t="s">
        <v>4</v>
      </c>
      <c r="C7" s="102"/>
      <c r="D7" s="102"/>
      <c r="E7" s="102"/>
      <c r="F7" s="102"/>
      <c r="G7" s="102"/>
      <c r="H7" s="101" t="s">
        <v>0</v>
      </c>
      <c r="I7" s="103"/>
      <c r="J7" s="103"/>
      <c r="K7" s="102"/>
      <c r="L7" s="102"/>
      <c r="M7" s="102"/>
      <c r="N7" s="104"/>
    </row>
    <row r="8" spans="2:14" s="5" customFormat="1" ht="15" customHeight="1" x14ac:dyDescent="0.25">
      <c r="B8" s="12" t="s">
        <v>12</v>
      </c>
      <c r="C8" s="105"/>
      <c r="D8" s="106"/>
      <c r="E8" s="107"/>
      <c r="F8" s="15" t="s">
        <v>6</v>
      </c>
      <c r="G8" s="50"/>
      <c r="H8" s="11" t="s">
        <v>9</v>
      </c>
      <c r="I8" s="61"/>
      <c r="J8" s="38" t="s">
        <v>116</v>
      </c>
      <c r="K8" s="108" t="s">
        <v>8</v>
      </c>
      <c r="L8" s="109"/>
      <c r="M8" s="110"/>
      <c r="N8" s="110"/>
    </row>
    <row r="9" spans="2:14" s="5" customFormat="1" ht="15" customHeight="1" x14ac:dyDescent="0.25">
      <c r="B9" s="13" t="s">
        <v>7</v>
      </c>
      <c r="C9" s="105"/>
      <c r="D9" s="106"/>
      <c r="E9" s="107"/>
      <c r="F9" s="15" t="s">
        <v>5</v>
      </c>
      <c r="G9" s="62"/>
      <c r="H9" s="58" t="s">
        <v>11</v>
      </c>
      <c r="I9" s="126"/>
      <c r="J9" s="126"/>
      <c r="K9" s="127" t="s">
        <v>10</v>
      </c>
      <c r="L9" s="127"/>
      <c r="M9" s="128" t="str">
        <f>+IF(J8="CO","ppm",IF(J8="O3","ppb",IF(J8="SO2","ppb","-")))</f>
        <v>ppb</v>
      </c>
      <c r="N9" s="128"/>
    </row>
    <row r="10" spans="2:14" s="5" customFormat="1" ht="15" customHeight="1" x14ac:dyDescent="0.25">
      <c r="B10" s="14" t="s">
        <v>22</v>
      </c>
      <c r="C10" s="129"/>
      <c r="D10" s="106"/>
      <c r="E10" s="106"/>
      <c r="F10" s="106"/>
      <c r="G10" s="107"/>
      <c r="H10" s="7" t="s">
        <v>84</v>
      </c>
      <c r="I10" s="26">
        <f>+IF($J$8="CO",50,IF($J$8="O3",500,IF($J$8="SO2",500,"-")))</f>
        <v>500</v>
      </c>
      <c r="J10" s="16" t="str">
        <f>+M9</f>
        <v>ppb</v>
      </c>
      <c r="K10" s="130" t="s">
        <v>86</v>
      </c>
      <c r="L10" s="127"/>
      <c r="M10" s="26">
        <v>0.01</v>
      </c>
      <c r="N10" s="16" t="str">
        <f>+M9</f>
        <v>ppb</v>
      </c>
    </row>
    <row r="11" spans="2:14" ht="3.95" customHeight="1" x14ac:dyDescent="0.2">
      <c r="B11" s="131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3"/>
    </row>
    <row r="12" spans="2:14" ht="18" customHeight="1" x14ac:dyDescent="0.2">
      <c r="B12" s="101" t="s">
        <v>1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4"/>
    </row>
    <row r="13" spans="2:14" ht="15" customHeight="1" x14ac:dyDescent="0.2">
      <c r="B13" s="134" t="s">
        <v>14</v>
      </c>
      <c r="C13" s="135"/>
      <c r="D13" s="135"/>
      <c r="E13" s="136"/>
      <c r="F13" s="134" t="s">
        <v>15</v>
      </c>
      <c r="G13" s="135"/>
      <c r="H13" s="135"/>
      <c r="I13" s="135"/>
      <c r="J13" s="134" t="s">
        <v>16</v>
      </c>
      <c r="K13" s="135"/>
      <c r="L13" s="135"/>
      <c r="M13" s="135"/>
      <c r="N13" s="136"/>
    </row>
    <row r="14" spans="2:14" ht="15" customHeight="1" x14ac:dyDescent="0.2">
      <c r="B14" s="43" t="s">
        <v>9</v>
      </c>
      <c r="C14" s="116"/>
      <c r="D14" s="117"/>
      <c r="E14" s="118"/>
      <c r="F14" s="114" t="s">
        <v>9</v>
      </c>
      <c r="G14" s="115"/>
      <c r="H14" s="116" t="s">
        <v>107</v>
      </c>
      <c r="I14" s="117"/>
      <c r="J14" s="114" t="s">
        <v>9</v>
      </c>
      <c r="K14" s="115"/>
      <c r="L14" s="105" t="s">
        <v>104</v>
      </c>
      <c r="M14" s="106"/>
      <c r="N14" s="107"/>
    </row>
    <row r="15" spans="2:14" ht="15" customHeight="1" x14ac:dyDescent="0.2">
      <c r="B15" s="43" t="s">
        <v>8</v>
      </c>
      <c r="C15" s="105"/>
      <c r="D15" s="106"/>
      <c r="E15" s="107"/>
      <c r="F15" s="114" t="s">
        <v>8</v>
      </c>
      <c r="G15" s="115"/>
      <c r="H15" s="116"/>
      <c r="I15" s="117"/>
      <c r="J15" s="114" t="s">
        <v>20</v>
      </c>
      <c r="K15" s="115"/>
      <c r="L15" s="105" t="s">
        <v>111</v>
      </c>
      <c r="M15" s="106"/>
      <c r="N15" s="107"/>
    </row>
    <row r="16" spans="2:14" ht="15" customHeight="1" x14ac:dyDescent="0.2">
      <c r="B16" s="43" t="s">
        <v>11</v>
      </c>
      <c r="C16" s="105"/>
      <c r="D16" s="106"/>
      <c r="E16" s="107"/>
      <c r="F16" s="114" t="s">
        <v>11</v>
      </c>
      <c r="G16" s="115"/>
      <c r="H16" s="105"/>
      <c r="I16" s="106"/>
      <c r="J16" s="114" t="s">
        <v>19</v>
      </c>
      <c r="K16" s="115"/>
      <c r="L16" s="105">
        <v>2016</v>
      </c>
      <c r="M16" s="106"/>
      <c r="N16" s="107"/>
    </row>
    <row r="17" spans="2:14" ht="15" customHeight="1" x14ac:dyDescent="0.2">
      <c r="B17" s="43" t="s">
        <v>18</v>
      </c>
      <c r="C17" s="119"/>
      <c r="D17" s="120"/>
      <c r="E17" s="45" t="str">
        <f>IF(ISBLANK(J8),"-",J8)</f>
        <v>O3</v>
      </c>
      <c r="F17" s="114" t="s">
        <v>17</v>
      </c>
      <c r="G17" s="115"/>
      <c r="H17" s="121"/>
      <c r="I17" s="122"/>
      <c r="J17" s="114" t="s">
        <v>17</v>
      </c>
      <c r="K17" s="115"/>
      <c r="L17" s="123">
        <v>0.01</v>
      </c>
      <c r="M17" s="124"/>
      <c r="N17" s="125"/>
    </row>
    <row r="18" spans="2:14" ht="3.95" customHeight="1" x14ac:dyDescent="0.2">
      <c r="B18" s="111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3"/>
    </row>
    <row r="19" spans="2:14" ht="18" customHeight="1" x14ac:dyDescent="0.2">
      <c r="B19" s="147" t="s">
        <v>25</v>
      </c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</row>
    <row r="20" spans="2:14" ht="15" customHeight="1" x14ac:dyDescent="0.2">
      <c r="B20" s="64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6"/>
    </row>
    <row r="21" spans="2:14" ht="15" customHeight="1" x14ac:dyDescent="0.2">
      <c r="B21" s="64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73" t="s">
        <v>115</v>
      </c>
      <c r="N21" s="74"/>
    </row>
    <row r="22" spans="2:14" ht="25.5" customHeight="1" x14ac:dyDescent="0.2">
      <c r="B22" s="17"/>
      <c r="F22" s="148" t="str">
        <f>+CONCATENATE("Concentración Patrón ","[",$M$9,"]")</f>
        <v>Concentración Patrón [ppb]</v>
      </c>
      <c r="G22" s="148"/>
      <c r="H22" s="149" t="str">
        <f>+CONCATENATE("Respuesta analizador ","[",$M$9,"]")</f>
        <v>Respuesta analizador [ppb]</v>
      </c>
      <c r="I22" s="149"/>
      <c r="J22" s="149" t="str">
        <f>+CONCATENATE("Diferencia absoluta ","[",$M$9,"]")</f>
        <v>Diferencia absoluta [ppb]</v>
      </c>
      <c r="K22" s="149"/>
      <c r="L22" s="3"/>
      <c r="M22" s="59" t="s">
        <v>114</v>
      </c>
      <c r="N22" s="59" t="s">
        <v>113</v>
      </c>
    </row>
    <row r="23" spans="2:14" ht="15" customHeight="1" x14ac:dyDescent="0.25">
      <c r="B23" s="17"/>
      <c r="D23" s="137" t="s">
        <v>23</v>
      </c>
      <c r="E23" s="137"/>
      <c r="F23" s="150">
        <v>0</v>
      </c>
      <c r="G23" s="150"/>
      <c r="H23" s="151"/>
      <c r="I23" s="151"/>
      <c r="J23" s="139" t="str">
        <f>IF(ISBLANK(H23),"-",ABS(F23-H23))</f>
        <v>-</v>
      </c>
      <c r="K23" s="139"/>
      <c r="L23" s="3"/>
      <c r="M23" s="67"/>
      <c r="N23" s="67"/>
    </row>
    <row r="24" spans="2:14" ht="15" customHeight="1" x14ac:dyDescent="0.25">
      <c r="B24" s="17"/>
      <c r="D24" s="137" t="s">
        <v>24</v>
      </c>
      <c r="E24" s="137"/>
      <c r="F24" s="138">
        <v>40</v>
      </c>
      <c r="G24" s="138"/>
      <c r="H24" s="138"/>
      <c r="I24" s="138"/>
      <c r="J24" s="139" t="str">
        <f>IF(ISBLANK(H24),"-",ABS(F24-H24))</f>
        <v>-</v>
      </c>
      <c r="K24" s="139"/>
      <c r="L24" s="3"/>
      <c r="M24" s="3"/>
      <c r="N24" s="18"/>
    </row>
    <row r="25" spans="2:14" ht="3.95" customHeight="1" x14ac:dyDescent="0.2">
      <c r="B25" s="19"/>
      <c r="C25" s="20"/>
      <c r="D25" s="20"/>
      <c r="E25" s="20"/>
      <c r="F25" s="20"/>
      <c r="G25" s="48"/>
      <c r="H25" s="20"/>
      <c r="I25" s="20"/>
      <c r="J25" s="20"/>
      <c r="K25" s="20"/>
      <c r="L25" s="20"/>
      <c r="M25" s="48"/>
      <c r="N25" s="49"/>
    </row>
    <row r="26" spans="2:14" ht="3.95" customHeight="1" x14ac:dyDescent="0.2"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</row>
    <row r="27" spans="2:14" ht="18" customHeight="1" x14ac:dyDescent="0.2">
      <c r="B27" s="140" t="s">
        <v>27</v>
      </c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2"/>
    </row>
    <row r="28" spans="2:14" ht="3.95" customHeight="1" x14ac:dyDescent="0.2"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</row>
    <row r="29" spans="2:14" ht="15" customHeight="1" x14ac:dyDescent="0.25">
      <c r="B29" s="78"/>
      <c r="C29" s="79"/>
      <c r="D29" s="79"/>
      <c r="E29" s="143" t="s">
        <v>78</v>
      </c>
      <c r="F29" s="144"/>
      <c r="G29" s="144"/>
      <c r="H29" s="144"/>
      <c r="I29" s="144"/>
      <c r="J29" s="144"/>
      <c r="K29" s="144"/>
      <c r="L29" s="39" t="str">
        <f>+J8</f>
        <v>O3</v>
      </c>
      <c r="M29" s="145"/>
      <c r="N29" s="146"/>
    </row>
    <row r="30" spans="2:14" ht="15" customHeight="1" x14ac:dyDescent="0.2">
      <c r="B30" s="155" t="s">
        <v>2</v>
      </c>
      <c r="C30" s="155"/>
      <c r="D30" s="155"/>
      <c r="E30" s="156">
        <v>0</v>
      </c>
      <c r="F30" s="157"/>
      <c r="G30" s="156">
        <v>20</v>
      </c>
      <c r="H30" s="157"/>
      <c r="I30" s="156">
        <v>40</v>
      </c>
      <c r="J30" s="157"/>
      <c r="K30" s="156">
        <v>60</v>
      </c>
      <c r="L30" s="157"/>
      <c r="M30" s="156">
        <v>80</v>
      </c>
      <c r="N30" s="157"/>
    </row>
    <row r="31" spans="2:14" ht="15" customHeight="1" x14ac:dyDescent="0.2">
      <c r="B31" s="152" t="str">
        <f>+CONCATENATE("|",J8,"|"," Salida Calibrador"," [","ppb","]")</f>
        <v>|O3| Salida Calibrador [ppb]</v>
      </c>
      <c r="C31" s="152"/>
      <c r="D31" s="152"/>
      <c r="E31" s="153">
        <f>+E30*$I$10/100</f>
        <v>0</v>
      </c>
      <c r="F31" s="154"/>
      <c r="G31" s="153">
        <f t="shared" ref="G31" si="0">+G30*$I$10/100</f>
        <v>100</v>
      </c>
      <c r="H31" s="154"/>
      <c r="I31" s="153">
        <f t="shared" ref="I31" si="1">+I30*$I$10/100</f>
        <v>200</v>
      </c>
      <c r="J31" s="154"/>
      <c r="K31" s="153">
        <f t="shared" ref="K31" si="2">+K30*$I$10/100</f>
        <v>300</v>
      </c>
      <c r="L31" s="154"/>
      <c r="M31" s="153">
        <f t="shared" ref="M31" si="3">+M30*$I$10/100</f>
        <v>400</v>
      </c>
      <c r="N31" s="154"/>
    </row>
    <row r="32" spans="2:14" ht="15" customHeight="1" x14ac:dyDescent="0.2">
      <c r="B32" s="68" t="str">
        <f>IF(J8="O3","lO3l Salida Calibrador corregido [ppb]","-")</f>
        <v>lO3l Salida Calibrador corregido [ppb]</v>
      </c>
      <c r="C32" s="69"/>
      <c r="D32" s="70"/>
      <c r="E32" s="71">
        <f>IF(J8="O3",(E31*M23)-N23,"-")</f>
        <v>0</v>
      </c>
      <c r="F32" s="72"/>
      <c r="G32" s="71">
        <f>IF(J8="O3",(G31*M23)-N23,"-")</f>
        <v>0</v>
      </c>
      <c r="H32" s="72"/>
      <c r="I32" s="71">
        <f>IF(J8="O3",(I31*M23)-N23,"-")</f>
        <v>0</v>
      </c>
      <c r="J32" s="72"/>
      <c r="K32" s="71">
        <f>IF(J8="O3",(K31*M23)-N23,"-")</f>
        <v>0</v>
      </c>
      <c r="L32" s="72"/>
      <c r="M32" s="71">
        <f>IF(J8="O3",(M31*M23)-N23,"-")</f>
        <v>0</v>
      </c>
      <c r="N32" s="72"/>
    </row>
    <row r="33" spans="2:14" x14ac:dyDescent="0.2">
      <c r="B33" s="163" t="s">
        <v>21</v>
      </c>
      <c r="C33" s="164"/>
      <c r="D33" s="164"/>
      <c r="E33" s="167" t="str">
        <f>+CONCATENATE("|",$J$8,"|"," Respuesta analizador")</f>
        <v>|O3| Respuesta analizador</v>
      </c>
      <c r="F33" s="168"/>
      <c r="G33" s="167" t="str">
        <f t="shared" ref="G33" si="4">+CONCATENATE("|",$J$8,"|"," Respuesta analizador")</f>
        <v>|O3| Respuesta analizador</v>
      </c>
      <c r="H33" s="168"/>
      <c r="I33" s="167" t="str">
        <f t="shared" ref="I33" si="5">+CONCATENATE("|",$J$8,"|"," Respuesta analizador")</f>
        <v>|O3| Respuesta analizador</v>
      </c>
      <c r="J33" s="168"/>
      <c r="K33" s="167" t="str">
        <f t="shared" ref="K33" si="6">+CONCATENATE("|",$J$8,"|"," Respuesta analizador")</f>
        <v>|O3| Respuesta analizador</v>
      </c>
      <c r="L33" s="168"/>
      <c r="M33" s="167" t="str">
        <f t="shared" ref="M33" si="7">+CONCATENATE("|",$J$8,"|"," Respuesta analizador")</f>
        <v>|O3| Respuesta analizador</v>
      </c>
      <c r="N33" s="169"/>
    </row>
    <row r="34" spans="2:14" x14ac:dyDescent="0.2">
      <c r="B34" s="165"/>
      <c r="C34" s="166"/>
      <c r="D34" s="166"/>
      <c r="E34" s="158" t="str">
        <f>+CONCATENATE("[",$M$9,"]")</f>
        <v>[ppb]</v>
      </c>
      <c r="F34" s="170"/>
      <c r="G34" s="158" t="str">
        <f t="shared" ref="G34" si="8">+CONCATENATE("[",$M$9,"]")</f>
        <v>[ppb]</v>
      </c>
      <c r="H34" s="159"/>
      <c r="I34" s="158" t="str">
        <f t="shared" ref="I34" si="9">+CONCATENATE("[",$M$9,"]")</f>
        <v>[ppb]</v>
      </c>
      <c r="J34" s="159"/>
      <c r="K34" s="158" t="str">
        <f t="shared" ref="K34" si="10">+CONCATENATE("[",$M$9,"]")</f>
        <v>[ppb]</v>
      </c>
      <c r="L34" s="159"/>
      <c r="M34" s="158" t="str">
        <f t="shared" ref="M34" si="11">+CONCATENATE("[",$M$9,"]")</f>
        <v>[ppb]</v>
      </c>
      <c r="N34" s="159"/>
    </row>
    <row r="35" spans="2:14" ht="15" customHeight="1" x14ac:dyDescent="0.2">
      <c r="B35" s="160">
        <v>1</v>
      </c>
      <c r="C35" s="160"/>
      <c r="D35" s="160"/>
      <c r="E35" s="161"/>
      <c r="F35" s="162"/>
      <c r="G35" s="161"/>
      <c r="H35" s="162"/>
      <c r="I35" s="161"/>
      <c r="J35" s="162"/>
      <c r="K35" s="161"/>
      <c r="L35" s="162"/>
      <c r="M35" s="161"/>
      <c r="N35" s="162"/>
    </row>
    <row r="36" spans="2:14" ht="15" customHeight="1" x14ac:dyDescent="0.2">
      <c r="B36" s="160">
        <v>2</v>
      </c>
      <c r="C36" s="160"/>
      <c r="D36" s="160"/>
      <c r="E36" s="161"/>
      <c r="F36" s="162"/>
      <c r="G36" s="161"/>
      <c r="H36" s="162"/>
      <c r="I36" s="161"/>
      <c r="J36" s="162"/>
      <c r="K36" s="161"/>
      <c r="L36" s="162"/>
      <c r="M36" s="161"/>
      <c r="N36" s="162"/>
    </row>
    <row r="37" spans="2:14" ht="15" customHeight="1" x14ac:dyDescent="0.2">
      <c r="B37" s="160">
        <v>3</v>
      </c>
      <c r="C37" s="160"/>
      <c r="D37" s="160"/>
      <c r="E37" s="161"/>
      <c r="F37" s="162"/>
      <c r="G37" s="161"/>
      <c r="H37" s="162"/>
      <c r="I37" s="161"/>
      <c r="J37" s="162"/>
      <c r="K37" s="161"/>
      <c r="L37" s="162"/>
      <c r="M37" s="161"/>
      <c r="N37" s="162"/>
    </row>
    <row r="38" spans="2:14" ht="15" customHeight="1" x14ac:dyDescent="0.2">
      <c r="B38" s="160">
        <v>4</v>
      </c>
      <c r="C38" s="160"/>
      <c r="D38" s="160"/>
      <c r="E38" s="161"/>
      <c r="F38" s="162"/>
      <c r="G38" s="161"/>
      <c r="H38" s="162"/>
      <c r="I38" s="161"/>
      <c r="J38" s="162"/>
      <c r="K38" s="161"/>
      <c r="L38" s="162"/>
      <c r="M38" s="161"/>
      <c r="N38" s="162"/>
    </row>
    <row r="39" spans="2:14" ht="15" customHeight="1" x14ac:dyDescent="0.2">
      <c r="B39" s="160">
        <v>5</v>
      </c>
      <c r="C39" s="160"/>
      <c r="D39" s="160"/>
      <c r="E39" s="161"/>
      <c r="F39" s="162"/>
      <c r="G39" s="161"/>
      <c r="H39" s="162"/>
      <c r="I39" s="161"/>
      <c r="J39" s="162"/>
      <c r="K39" s="161"/>
      <c r="L39" s="162"/>
      <c r="M39" s="161"/>
      <c r="N39" s="162"/>
    </row>
    <row r="40" spans="2:14" ht="18" customHeight="1" x14ac:dyDescent="0.2">
      <c r="B40" s="175" t="s">
        <v>3</v>
      </c>
      <c r="C40" s="175"/>
      <c r="D40" s="175"/>
      <c r="E40" s="176" t="e">
        <f>AVERAGE(E35:E39)</f>
        <v>#DIV/0!</v>
      </c>
      <c r="F40" s="177"/>
      <c r="G40" s="176" t="e">
        <f t="shared" ref="G40" si="12">AVERAGE(G35:G39)</f>
        <v>#DIV/0!</v>
      </c>
      <c r="H40" s="177"/>
      <c r="I40" s="176" t="e">
        <f t="shared" ref="I40" si="13">AVERAGE(I35:I39)</f>
        <v>#DIV/0!</v>
      </c>
      <c r="J40" s="177"/>
      <c r="K40" s="176" t="e">
        <f t="shared" ref="K40" si="14">AVERAGE(K35:K39)</f>
        <v>#DIV/0!</v>
      </c>
      <c r="L40" s="177"/>
      <c r="M40" s="176" t="e">
        <f t="shared" ref="M40" si="15">AVERAGE(M35:M39)</f>
        <v>#DIV/0!</v>
      </c>
      <c r="N40" s="177"/>
    </row>
    <row r="41" spans="2:14" ht="5.0999999999999996" customHeight="1" x14ac:dyDescent="0.2">
      <c r="B41" s="75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7"/>
    </row>
    <row r="42" spans="2:14" ht="15" customHeight="1" x14ac:dyDescent="0.2">
      <c r="B42" s="171" t="s">
        <v>79</v>
      </c>
      <c r="C42" s="172"/>
      <c r="D42" s="57" t="str">
        <f>+CONCATENATE("[",$M$9,"]")</f>
        <v>[ppb]</v>
      </c>
      <c r="E42" s="173">
        <f>E31</f>
        <v>0</v>
      </c>
      <c r="F42" s="174"/>
      <c r="G42" s="173">
        <f t="shared" ref="G42" si="16">G31</f>
        <v>100</v>
      </c>
      <c r="H42" s="174"/>
      <c r="I42" s="173">
        <f t="shared" ref="I42" si="17">I31</f>
        <v>200</v>
      </c>
      <c r="J42" s="174"/>
      <c r="K42" s="173">
        <f t="shared" ref="K42" si="18">K31</f>
        <v>300</v>
      </c>
      <c r="L42" s="174"/>
      <c r="M42" s="173">
        <f t="shared" ref="M42" si="19">M31</f>
        <v>400</v>
      </c>
      <c r="N42" s="174"/>
    </row>
    <row r="43" spans="2:14" ht="15" customHeight="1" x14ac:dyDescent="0.2">
      <c r="B43" s="171" t="s">
        <v>80</v>
      </c>
      <c r="C43" s="172"/>
      <c r="D43" s="57" t="str">
        <f>+CONCATENATE("[",$M$9,"]")</f>
        <v>[ppb]</v>
      </c>
      <c r="E43" s="180" t="e">
        <f>E40</f>
        <v>#DIV/0!</v>
      </c>
      <c r="F43" s="181"/>
      <c r="G43" s="180" t="e">
        <f t="shared" ref="G43" si="20">G40</f>
        <v>#DIV/0!</v>
      </c>
      <c r="H43" s="181"/>
      <c r="I43" s="180" t="e">
        <f t="shared" ref="I43" si="21">I40</f>
        <v>#DIV/0!</v>
      </c>
      <c r="J43" s="181"/>
      <c r="K43" s="180" t="e">
        <f t="shared" ref="K43" si="22">K40</f>
        <v>#DIV/0!</v>
      </c>
      <c r="L43" s="181"/>
      <c r="M43" s="180" t="e">
        <f t="shared" ref="M43" si="23">M40</f>
        <v>#DIV/0!</v>
      </c>
      <c r="N43" s="181"/>
    </row>
    <row r="44" spans="2:14" ht="15" customHeight="1" x14ac:dyDescent="0.2">
      <c r="B44" s="171" t="s">
        <v>81</v>
      </c>
      <c r="C44" s="172"/>
      <c r="D44" s="57" t="str">
        <f>+CONCATENATE("[",$M$9,"]")</f>
        <v>[ppb]</v>
      </c>
      <c r="E44" s="178" t="e">
        <f>($K$54*E42)+$M$54</f>
        <v>#DIV/0!</v>
      </c>
      <c r="F44" s="179"/>
      <c r="G44" s="178" t="e">
        <f>($K$54*G42)+$M$54</f>
        <v>#DIV/0!</v>
      </c>
      <c r="H44" s="179"/>
      <c r="I44" s="178" t="e">
        <f>($K$54*I42)+$M$54</f>
        <v>#DIV/0!</v>
      </c>
      <c r="J44" s="179"/>
      <c r="K44" s="178" t="e">
        <f>($K$54*K42)+$M$54</f>
        <v>#DIV/0!</v>
      </c>
      <c r="L44" s="179"/>
      <c r="M44" s="178" t="e">
        <f>($K$54*M42)+$M$54</f>
        <v>#DIV/0!</v>
      </c>
      <c r="N44" s="179"/>
    </row>
    <row r="45" spans="2:14" ht="15" customHeight="1" x14ac:dyDescent="0.2">
      <c r="B45" s="184" t="s">
        <v>82</v>
      </c>
      <c r="C45" s="185"/>
      <c r="D45" s="57" t="str">
        <f>+CONCATENATE("[",$M$9,"]")</f>
        <v>[ppb]</v>
      </c>
      <c r="E45" s="186" t="e">
        <f>+E44-($M$31*0.02)</f>
        <v>#DIV/0!</v>
      </c>
      <c r="F45" s="187"/>
      <c r="G45" s="186" t="e">
        <f t="shared" ref="G45" si="24">+G44-($M$31*0.02)</f>
        <v>#DIV/0!</v>
      </c>
      <c r="H45" s="187"/>
      <c r="I45" s="186" t="e">
        <f t="shared" ref="I45" si="25">+I44-($M$31*0.02)</f>
        <v>#DIV/0!</v>
      </c>
      <c r="J45" s="187"/>
      <c r="K45" s="186" t="e">
        <f t="shared" ref="K45" si="26">+K44-($M$31*0.02)</f>
        <v>#DIV/0!</v>
      </c>
      <c r="L45" s="187"/>
      <c r="M45" s="186" t="e">
        <f t="shared" ref="M45" si="27">+M44-($M$31*0.02)</f>
        <v>#DIV/0!</v>
      </c>
      <c r="N45" s="187"/>
    </row>
    <row r="46" spans="2:14" ht="15" customHeight="1" x14ac:dyDescent="0.2">
      <c r="B46" s="171" t="s">
        <v>83</v>
      </c>
      <c r="C46" s="172"/>
      <c r="D46" s="57" t="str">
        <f>+CONCATENATE("[",$M$9,"]")</f>
        <v>[ppb]</v>
      </c>
      <c r="E46" s="182" t="e">
        <f>+E44+($M$31*0.02)</f>
        <v>#DIV/0!</v>
      </c>
      <c r="F46" s="183"/>
      <c r="G46" s="182" t="e">
        <f t="shared" ref="G46" si="28">+G44+($M$31*0.02)</f>
        <v>#DIV/0!</v>
      </c>
      <c r="H46" s="183"/>
      <c r="I46" s="182" t="e">
        <f t="shared" ref="I46" si="29">+I44+($M$31*0.02)</f>
        <v>#DIV/0!</v>
      </c>
      <c r="J46" s="183"/>
      <c r="K46" s="182" t="e">
        <f t="shared" ref="K46" si="30">+K44+($M$31*0.02)</f>
        <v>#DIV/0!</v>
      </c>
      <c r="L46" s="183"/>
      <c r="M46" s="182" t="e">
        <f t="shared" ref="M46" si="31">+M44+($M$31*0.02)</f>
        <v>#DIV/0!</v>
      </c>
      <c r="N46" s="183"/>
    </row>
    <row r="47" spans="2:14" ht="15" customHeight="1" x14ac:dyDescent="0.2">
      <c r="B47" s="171" t="s">
        <v>67</v>
      </c>
      <c r="C47" s="172"/>
      <c r="D47" s="191"/>
      <c r="E47" s="196" t="e">
        <f t="shared" ref="E47" si="32">+IF(E43&gt;E45,IF((E43&lt;E46),"CUMPLE","NO CUMPLE"),"NO CUMPLE")</f>
        <v>#DIV/0!</v>
      </c>
      <c r="F47" s="197"/>
      <c r="G47" s="196" t="e">
        <f t="shared" ref="G47" si="33">+IF(G43&gt;G45,IF((G43&lt;G46),"CUMPLE","NO CUMPLE"),"NO CUMPLE")</f>
        <v>#DIV/0!</v>
      </c>
      <c r="H47" s="197"/>
      <c r="I47" s="196" t="e">
        <f t="shared" ref="I47" si="34">+IF(I43&gt;I45,IF((I43&lt;I46),"CUMPLE","NO CUMPLE"),"NO CUMPLE")</f>
        <v>#DIV/0!</v>
      </c>
      <c r="J47" s="197"/>
      <c r="K47" s="196" t="e">
        <f t="shared" ref="K47" si="35">+IF(K43&gt;K45,IF((K43&lt;K46),"CUMPLE","NO CUMPLE"),"NO CUMPLE")</f>
        <v>#DIV/0!</v>
      </c>
      <c r="L47" s="197"/>
      <c r="M47" s="196" t="e">
        <f t="shared" ref="M47" si="36">+IF(M43&gt;M45,IF((M43&lt;M46),"CUMPLE","NO CUMPLE"))</f>
        <v>#DIV/0!</v>
      </c>
      <c r="N47" s="197"/>
    </row>
    <row r="48" spans="2:14" ht="15" x14ac:dyDescent="0.2">
      <c r="B48" s="188" t="s">
        <v>70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</row>
    <row r="49" spans="2:14" ht="5.0999999999999996" customHeight="1" x14ac:dyDescent="0.2">
      <c r="B49" s="51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3"/>
    </row>
    <row r="50" spans="2:14" ht="15" customHeight="1" x14ac:dyDescent="0.2">
      <c r="B50" s="171" t="s">
        <v>68</v>
      </c>
      <c r="C50" s="172"/>
      <c r="D50" s="191"/>
      <c r="E50" s="192" t="s">
        <v>13</v>
      </c>
      <c r="F50" s="193"/>
      <c r="G50" s="194" t="e">
        <f t="shared" ref="G50:M50" si="37">+(G44-G43)/G44</f>
        <v>#DIV/0!</v>
      </c>
      <c r="H50" s="195"/>
      <c r="I50" s="194" t="e">
        <f t="shared" si="37"/>
        <v>#DIV/0!</v>
      </c>
      <c r="J50" s="195"/>
      <c r="K50" s="194" t="e">
        <f t="shared" si="37"/>
        <v>#DIV/0!</v>
      </c>
      <c r="L50" s="195"/>
      <c r="M50" s="194" t="e">
        <f t="shared" si="37"/>
        <v>#DIV/0!</v>
      </c>
      <c r="N50" s="195"/>
    </row>
    <row r="51" spans="2:14" ht="15" x14ac:dyDescent="0.2">
      <c r="B51" s="55" t="s">
        <v>69</v>
      </c>
      <c r="C51" s="56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3"/>
    </row>
    <row r="52" spans="2:14" ht="5.0999999999999996" customHeight="1" x14ac:dyDescent="0.2">
      <c r="B52" s="51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3"/>
    </row>
    <row r="53" spans="2:14" ht="17.100000000000001" customHeight="1" x14ac:dyDescent="0.2">
      <c r="B53" s="17"/>
      <c r="I53" s="200" t="s">
        <v>73</v>
      </c>
      <c r="J53" s="200"/>
      <c r="K53" s="200" t="s">
        <v>71</v>
      </c>
      <c r="L53" s="200"/>
      <c r="M53" s="200" t="s">
        <v>72</v>
      </c>
      <c r="N53" s="200"/>
    </row>
    <row r="54" spans="2:14" ht="15.95" customHeight="1" x14ac:dyDescent="0.2">
      <c r="B54" s="19"/>
      <c r="C54" s="20"/>
      <c r="D54" s="20"/>
      <c r="E54" s="20"/>
      <c r="F54" s="20"/>
      <c r="G54" s="20"/>
      <c r="H54" s="20"/>
      <c r="I54" s="201" t="e">
        <f>CORREL(E43:N43,E42:N42)</f>
        <v>#DIV/0!</v>
      </c>
      <c r="J54" s="201"/>
      <c r="K54" s="201" t="e">
        <f>SLOPE(E43:N43,E42:N42)</f>
        <v>#DIV/0!</v>
      </c>
      <c r="L54" s="201"/>
      <c r="M54" s="201" t="e">
        <f xml:space="preserve"> INTERCEPT(E43:N43,E42:N42)</f>
        <v>#DIV/0!</v>
      </c>
      <c r="N54" s="201"/>
    </row>
    <row r="55" spans="2:14" ht="5.0999999999999996" customHeight="1" x14ac:dyDescent="0.2">
      <c r="B55" s="81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3"/>
    </row>
    <row r="56" spans="2:14" ht="5.0999999999999996" customHeight="1" x14ac:dyDescent="0.2">
      <c r="B56" s="78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80"/>
    </row>
    <row r="57" spans="2:14" ht="15" customHeight="1" x14ac:dyDescent="0.2">
      <c r="B57" s="198"/>
      <c r="C57" s="199"/>
      <c r="D57" s="199"/>
      <c r="E57" s="84" t="s">
        <v>76</v>
      </c>
      <c r="F57" s="85"/>
      <c r="G57" s="85"/>
      <c r="H57" s="85"/>
      <c r="I57" s="85"/>
      <c r="J57" s="85"/>
      <c r="K57" s="85"/>
      <c r="L57" s="86"/>
      <c r="M57" s="93" t="s">
        <v>74</v>
      </c>
      <c r="N57" s="94"/>
    </row>
    <row r="58" spans="2:14" ht="15" customHeight="1" x14ac:dyDescent="0.2">
      <c r="B58" s="198"/>
      <c r="C58" s="199"/>
      <c r="D58" s="199"/>
      <c r="E58" s="87"/>
      <c r="F58" s="88"/>
      <c r="G58" s="88"/>
      <c r="H58" s="88"/>
      <c r="I58" s="88"/>
      <c r="J58" s="88"/>
      <c r="K58" s="88"/>
      <c r="L58" s="89"/>
      <c r="M58" s="95" t="s">
        <v>117</v>
      </c>
      <c r="N58" s="96"/>
    </row>
    <row r="59" spans="2:14" ht="15" customHeight="1" x14ac:dyDescent="0.2">
      <c r="B59" s="198"/>
      <c r="C59" s="199"/>
      <c r="D59" s="199"/>
      <c r="E59" s="87"/>
      <c r="F59" s="88"/>
      <c r="G59" s="88"/>
      <c r="H59" s="88"/>
      <c r="I59" s="88"/>
      <c r="J59" s="88"/>
      <c r="K59" s="88"/>
      <c r="L59" s="89"/>
      <c r="M59" s="97" t="s">
        <v>118</v>
      </c>
      <c r="N59" s="98"/>
    </row>
    <row r="60" spans="2:14" ht="15" customHeight="1" x14ac:dyDescent="0.2">
      <c r="B60" s="198"/>
      <c r="C60" s="199"/>
      <c r="D60" s="199"/>
      <c r="E60" s="90"/>
      <c r="F60" s="91"/>
      <c r="G60" s="91"/>
      <c r="H60" s="91"/>
      <c r="I60" s="91"/>
      <c r="J60" s="91"/>
      <c r="K60" s="91"/>
      <c r="L60" s="92"/>
      <c r="M60" s="99" t="s">
        <v>112</v>
      </c>
      <c r="N60" s="100"/>
    </row>
    <row r="61" spans="2:14" ht="5.0999999999999996" customHeight="1" x14ac:dyDescent="0.2">
      <c r="B61" s="51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3"/>
    </row>
    <row r="62" spans="2:14" ht="18" customHeight="1" x14ac:dyDescent="0.2">
      <c r="B62" s="140" t="s">
        <v>88</v>
      </c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2"/>
    </row>
    <row r="63" spans="2:14" ht="19.5" customHeight="1" x14ac:dyDescent="0.2">
      <c r="B63" s="17"/>
      <c r="C63" s="40"/>
      <c r="D63" s="40"/>
      <c r="E63" s="40"/>
      <c r="G63" s="41" t="s">
        <v>85</v>
      </c>
      <c r="H63" s="40"/>
      <c r="I63" s="40"/>
      <c r="J63" s="41" t="str">
        <f>+J8</f>
        <v>O3</v>
      </c>
      <c r="K63" s="40"/>
      <c r="L63" s="40"/>
      <c r="M63" s="40"/>
      <c r="N63" s="42"/>
    </row>
    <row r="64" spans="2:14" ht="19.5" customHeight="1" x14ac:dyDescent="0.2">
      <c r="B64" s="17"/>
      <c r="N64" s="18"/>
    </row>
    <row r="65" spans="2:14" ht="19.5" customHeight="1" x14ac:dyDescent="0.2">
      <c r="B65" s="17"/>
      <c r="N65" s="18"/>
    </row>
    <row r="66" spans="2:14" ht="19.5" customHeight="1" x14ac:dyDescent="0.2">
      <c r="B66" s="17"/>
      <c r="N66" s="18"/>
    </row>
    <row r="67" spans="2:14" ht="19.5" customHeight="1" x14ac:dyDescent="0.2">
      <c r="B67" s="17"/>
      <c r="N67" s="18"/>
    </row>
    <row r="68" spans="2:14" ht="19.5" customHeight="1" x14ac:dyDescent="0.2">
      <c r="B68" s="17"/>
      <c r="N68" s="18"/>
    </row>
    <row r="69" spans="2:14" ht="19.5" customHeight="1" x14ac:dyDescent="0.2">
      <c r="B69" s="17"/>
      <c r="N69" s="18"/>
    </row>
    <row r="70" spans="2:14" ht="19.5" customHeight="1" x14ac:dyDescent="0.2">
      <c r="B70" s="17"/>
      <c r="N70" s="18"/>
    </row>
    <row r="71" spans="2:14" ht="19.5" customHeight="1" x14ac:dyDescent="0.2">
      <c r="B71" s="17"/>
      <c r="N71" s="18"/>
    </row>
    <row r="72" spans="2:14" ht="19.5" customHeight="1" x14ac:dyDescent="0.2">
      <c r="B72" s="17"/>
      <c r="N72" s="18"/>
    </row>
    <row r="73" spans="2:14" ht="19.5" customHeight="1" x14ac:dyDescent="0.2">
      <c r="B73" s="17"/>
      <c r="N73" s="18"/>
    </row>
    <row r="74" spans="2:14" ht="9.75" customHeight="1" x14ac:dyDescent="0.2">
      <c r="B74" s="17"/>
      <c r="N74" s="18"/>
    </row>
    <row r="75" spans="2:14" ht="19.5" customHeight="1" x14ac:dyDescent="0.2">
      <c r="B75" s="17"/>
      <c r="N75" s="18"/>
    </row>
    <row r="76" spans="2:14" ht="19.5" customHeight="1" x14ac:dyDescent="0.2">
      <c r="B76" s="17"/>
      <c r="N76" s="18"/>
    </row>
    <row r="77" spans="2:14" ht="19.5" customHeight="1" x14ac:dyDescent="0.2">
      <c r="B77" s="17"/>
      <c r="N77" s="18"/>
    </row>
    <row r="78" spans="2:14" ht="19.5" customHeight="1" x14ac:dyDescent="0.2">
      <c r="B78" s="17"/>
      <c r="N78" s="18"/>
    </row>
    <row r="79" spans="2:14" ht="19.5" customHeight="1" x14ac:dyDescent="0.2">
      <c r="B79" s="17"/>
      <c r="N79" s="18"/>
    </row>
    <row r="80" spans="2:14" ht="9.4" customHeight="1" x14ac:dyDescent="0.2">
      <c r="B80" s="19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1"/>
    </row>
    <row r="81" spans="2:14" ht="5.0999999999999996" customHeight="1" x14ac:dyDescent="0.2"/>
    <row r="82" spans="2:14" ht="18" customHeight="1" x14ac:dyDescent="0.2">
      <c r="B82" s="140" t="s">
        <v>26</v>
      </c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2"/>
    </row>
    <row r="83" spans="2:14" ht="5.0999999999999996" customHeight="1" x14ac:dyDescent="0.2">
      <c r="B83" s="8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10"/>
    </row>
    <row r="84" spans="2:14" ht="15" customHeight="1" x14ac:dyDescent="0.2">
      <c r="B84" s="17"/>
      <c r="E84" s="206" t="str">
        <f>+CONCATENATE("Concentración Patrón ","[",$M$9,"]")</f>
        <v>Concentración Patrón [ppb]</v>
      </c>
      <c r="F84" s="207"/>
      <c r="G84" s="210" t="str">
        <f>+CONCATENATE("Respuesta analizador ","[",$M$9,"]")</f>
        <v>Respuesta analizador [ppb]</v>
      </c>
      <c r="H84" s="211"/>
      <c r="I84" s="149" t="s">
        <v>28</v>
      </c>
      <c r="J84" s="149"/>
      <c r="K84" s="149" t="s">
        <v>95</v>
      </c>
      <c r="L84" s="149"/>
      <c r="N84" s="4"/>
    </row>
    <row r="85" spans="2:14" ht="15" customHeight="1" x14ac:dyDescent="0.2">
      <c r="B85" s="17"/>
      <c r="E85" s="208"/>
      <c r="F85" s="209"/>
      <c r="G85" s="212"/>
      <c r="H85" s="213"/>
      <c r="I85" s="59" t="str">
        <f>+CONCATENATE("Abs. ","[",$M$9,"]")</f>
        <v>Abs. [ppb]</v>
      </c>
      <c r="J85" s="59" t="s">
        <v>29</v>
      </c>
      <c r="K85" s="149"/>
      <c r="L85" s="149"/>
      <c r="N85" s="4"/>
    </row>
    <row r="86" spans="2:14" ht="15" customHeight="1" x14ac:dyDescent="0.25">
      <c r="B86" s="17"/>
      <c r="C86" s="202" t="s">
        <v>23</v>
      </c>
      <c r="D86" s="203"/>
      <c r="E86" s="150">
        <v>0</v>
      </c>
      <c r="F86" s="150"/>
      <c r="G86" s="204"/>
      <c r="H86" s="204"/>
      <c r="I86" s="54" t="str">
        <f>IF(ISBLANK(G86),"-",ABS(E86-G86))</f>
        <v>-</v>
      </c>
      <c r="J86" s="44" t="str">
        <f>+IFERROR(((E86-G86)/E86),"-")</f>
        <v>-</v>
      </c>
      <c r="K86" s="205" t="s">
        <v>110</v>
      </c>
      <c r="L86" s="205"/>
      <c r="N86" s="18"/>
    </row>
    <row r="87" spans="2:14" ht="15" customHeight="1" x14ac:dyDescent="0.25">
      <c r="B87" s="17"/>
      <c r="C87" s="202" t="s">
        <v>24</v>
      </c>
      <c r="D87" s="203"/>
      <c r="E87" s="138">
        <v>40</v>
      </c>
      <c r="F87" s="138"/>
      <c r="G87" s="204"/>
      <c r="H87" s="204"/>
      <c r="I87" s="54" t="str">
        <f t="shared" ref="I87:I88" si="38">IF(ISBLANK(G87),"-",ABS(E87-G87))</f>
        <v>-</v>
      </c>
      <c r="J87" s="44" t="str">
        <f>+IF(ISBLANK(G87),"-",(E87-G87)/E87)</f>
        <v>-</v>
      </c>
      <c r="K87" s="205" t="s">
        <v>110</v>
      </c>
      <c r="L87" s="205"/>
      <c r="N87" s="18"/>
    </row>
    <row r="88" spans="2:14" ht="15" customHeight="1" x14ac:dyDescent="0.25">
      <c r="B88" s="17"/>
      <c r="C88" s="202" t="s">
        <v>87</v>
      </c>
      <c r="D88" s="203"/>
      <c r="E88" s="138">
        <f>+IF(J8="CO",5,IF(J8="O3",50,IF(J8="SO2",50,"-")))</f>
        <v>50</v>
      </c>
      <c r="F88" s="138"/>
      <c r="G88" s="204"/>
      <c r="H88" s="204"/>
      <c r="I88" s="54" t="str">
        <f t="shared" si="38"/>
        <v>-</v>
      </c>
      <c r="J88" s="44" t="str">
        <f>+IF(ISBLANK(G88),"-",(E88-G88)/E88)</f>
        <v>-</v>
      </c>
      <c r="K88" s="205" t="s">
        <v>110</v>
      </c>
      <c r="L88" s="205"/>
      <c r="N88" s="18"/>
    </row>
    <row r="89" spans="2:14" ht="15" customHeight="1" x14ac:dyDescent="0.2">
      <c r="B89" s="17"/>
      <c r="C89" s="56" t="s">
        <v>96</v>
      </c>
      <c r="N89" s="18"/>
    </row>
    <row r="90" spans="2:14" ht="5.0999999999999996" customHeight="1" x14ac:dyDescent="0.2">
      <c r="B90" s="19"/>
      <c r="C90" s="20"/>
      <c r="D90" s="20"/>
      <c r="E90" s="20"/>
      <c r="F90" s="20"/>
      <c r="G90" s="48"/>
      <c r="H90" s="20"/>
      <c r="I90" s="20"/>
      <c r="J90" s="20"/>
      <c r="K90" s="20"/>
      <c r="L90" s="20"/>
      <c r="M90" s="48"/>
      <c r="N90" s="49"/>
    </row>
    <row r="91" spans="2:14" ht="5.0999999999999996" customHeight="1" x14ac:dyDescent="0.2"/>
    <row r="92" spans="2:14" ht="18" customHeight="1" x14ac:dyDescent="0.2">
      <c r="B92" s="140" t="s">
        <v>30</v>
      </c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2"/>
    </row>
    <row r="93" spans="2:14" ht="5.0999999999999996" customHeight="1" x14ac:dyDescent="0.2">
      <c r="B93" s="17"/>
      <c r="N93" s="18"/>
    </row>
    <row r="94" spans="2:14" ht="13.5" customHeight="1" x14ac:dyDescent="0.2">
      <c r="B94" s="224" t="s">
        <v>101</v>
      </c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</row>
    <row r="95" spans="2:14" ht="15" customHeight="1" x14ac:dyDescent="0.2">
      <c r="B95" s="11" t="s">
        <v>97</v>
      </c>
      <c r="C95" s="233" t="s">
        <v>99</v>
      </c>
      <c r="D95" s="233"/>
      <c r="E95" s="233"/>
      <c r="F95" s="109" t="s">
        <v>8</v>
      </c>
      <c r="G95" s="109"/>
      <c r="H95" s="110" t="s">
        <v>108</v>
      </c>
      <c r="I95" s="110"/>
      <c r="J95" s="199" t="s">
        <v>98</v>
      </c>
      <c r="K95" s="214"/>
      <c r="L95" s="110"/>
      <c r="M95" s="110"/>
      <c r="N95" s="110"/>
    </row>
    <row r="96" spans="2:14" ht="15" customHeight="1" x14ac:dyDescent="0.2">
      <c r="B96" s="58" t="s">
        <v>10</v>
      </c>
      <c r="C96" s="215" t="s">
        <v>100</v>
      </c>
      <c r="D96" s="216"/>
      <c r="E96" s="217" t="s">
        <v>102</v>
      </c>
      <c r="F96" s="218"/>
      <c r="G96" s="130"/>
      <c r="H96" s="219" t="s">
        <v>109</v>
      </c>
      <c r="I96" s="220"/>
      <c r="J96" s="221" t="s">
        <v>106</v>
      </c>
      <c r="K96" s="221"/>
      <c r="L96" s="222"/>
      <c r="M96" s="223"/>
      <c r="N96" s="223"/>
    </row>
    <row r="97" spans="2:14" ht="6.95" customHeight="1" x14ac:dyDescent="0.2">
      <c r="B97" s="17"/>
      <c r="N97" s="18"/>
    </row>
    <row r="98" spans="2:14" s="6" customFormat="1" ht="15" customHeight="1" x14ac:dyDescent="0.25">
      <c r="B98" s="22"/>
      <c r="C98" s="225" t="s">
        <v>36</v>
      </c>
      <c r="D98" s="225"/>
      <c r="E98" s="60" t="s">
        <v>37</v>
      </c>
      <c r="F98" s="60" t="s">
        <v>38</v>
      </c>
      <c r="G98" s="60" t="s">
        <v>39</v>
      </c>
      <c r="H98" s="60" t="s">
        <v>40</v>
      </c>
      <c r="I98" s="60" t="s">
        <v>41</v>
      </c>
      <c r="J98" s="60" t="s">
        <v>42</v>
      </c>
      <c r="K98" s="60" t="s">
        <v>43</v>
      </c>
      <c r="L98" s="60" t="s">
        <v>44</v>
      </c>
      <c r="M98" s="60" t="s">
        <v>45</v>
      </c>
      <c r="N98" s="60" t="s">
        <v>46</v>
      </c>
    </row>
    <row r="99" spans="2:14" s="6" customFormat="1" ht="15" customHeight="1" x14ac:dyDescent="0.25">
      <c r="B99" s="23" t="s">
        <v>32</v>
      </c>
      <c r="C99" s="226"/>
      <c r="D99" s="227"/>
      <c r="E99" s="63"/>
      <c r="F99" s="63"/>
      <c r="G99" s="63"/>
      <c r="H99" s="63"/>
      <c r="I99" s="63"/>
      <c r="J99" s="63"/>
      <c r="K99" s="63"/>
      <c r="L99" s="63"/>
      <c r="M99" s="63"/>
      <c r="N99" s="63"/>
    </row>
    <row r="100" spans="2:14" ht="15" customHeight="1" x14ac:dyDescent="0.2">
      <c r="B100" s="23" t="s">
        <v>33</v>
      </c>
      <c r="C100" s="231"/>
      <c r="D100" s="232"/>
      <c r="E100" s="46"/>
      <c r="F100" s="46"/>
      <c r="G100" s="46"/>
      <c r="H100" s="46"/>
      <c r="I100" s="46"/>
      <c r="J100" s="46"/>
      <c r="K100" s="46"/>
      <c r="L100" s="46"/>
      <c r="M100" s="46"/>
      <c r="N100" s="46"/>
    </row>
    <row r="101" spans="2:14" ht="15" customHeight="1" x14ac:dyDescent="0.2">
      <c r="B101" s="23" t="s">
        <v>34</v>
      </c>
      <c r="C101" s="231"/>
      <c r="D101" s="232"/>
      <c r="E101" s="46"/>
      <c r="F101" s="46"/>
      <c r="G101" s="46"/>
      <c r="H101" s="46"/>
      <c r="I101" s="46"/>
      <c r="J101" s="46"/>
      <c r="K101" s="46"/>
      <c r="L101" s="46"/>
      <c r="M101" s="46"/>
      <c r="N101" s="46"/>
    </row>
    <row r="102" spans="2:14" ht="15" customHeight="1" x14ac:dyDescent="0.2">
      <c r="B102" s="23" t="s">
        <v>103</v>
      </c>
      <c r="C102" s="231"/>
      <c r="D102" s="232"/>
      <c r="E102" s="46"/>
      <c r="F102" s="46"/>
      <c r="G102" s="46"/>
      <c r="H102" s="46"/>
      <c r="I102" s="46"/>
      <c r="J102" s="46"/>
      <c r="K102" s="46"/>
      <c r="L102" s="46"/>
      <c r="M102" s="46"/>
      <c r="N102" s="46"/>
    </row>
    <row r="103" spans="2:14" ht="15" customHeight="1" x14ac:dyDescent="0.2">
      <c r="B103" s="23" t="s">
        <v>35</v>
      </c>
      <c r="C103" s="228" t="str">
        <f>+IF(C102&gt;-1,IF((C102&lt;1.6),"CUMPLE","NO CUMPLE"),"NO CUMPLE")</f>
        <v>CUMPLE</v>
      </c>
      <c r="D103" s="229"/>
      <c r="E103" s="47" t="str">
        <f>+IF(E102&gt;-1,IF((E102&lt;1.6),"CUMPLE","NO CUMPLE"),"NO CUMPLE")</f>
        <v>CUMPLE</v>
      </c>
      <c r="F103" s="47" t="str">
        <f t="shared" ref="F103:N103" si="39">+IF(F102&gt;-1,IF((F102&lt;1.6),"CUMPLE","NO CUMPLE"),"NO CUMPLE")</f>
        <v>CUMPLE</v>
      </c>
      <c r="G103" s="47" t="str">
        <f t="shared" si="39"/>
        <v>CUMPLE</v>
      </c>
      <c r="H103" s="47" t="str">
        <f t="shared" si="39"/>
        <v>CUMPLE</v>
      </c>
      <c r="I103" s="47" t="str">
        <f t="shared" si="39"/>
        <v>CUMPLE</v>
      </c>
      <c r="J103" s="47" t="str">
        <f t="shared" si="39"/>
        <v>CUMPLE</v>
      </c>
      <c r="K103" s="47" t="str">
        <f t="shared" si="39"/>
        <v>CUMPLE</v>
      </c>
      <c r="L103" s="47" t="str">
        <f t="shared" si="39"/>
        <v>CUMPLE</v>
      </c>
      <c r="M103" s="47" t="str">
        <f t="shared" si="39"/>
        <v>CUMPLE</v>
      </c>
      <c r="N103" s="47" t="str">
        <f t="shared" si="39"/>
        <v>CUMPLE</v>
      </c>
    </row>
    <row r="104" spans="2:14" ht="6.95" customHeight="1" x14ac:dyDescent="0.2">
      <c r="B104" s="17"/>
      <c r="N104" s="18"/>
    </row>
    <row r="105" spans="2:14" ht="15" customHeight="1" x14ac:dyDescent="0.2">
      <c r="B105" s="22"/>
      <c r="C105" s="225" t="s">
        <v>47</v>
      </c>
      <c r="D105" s="225"/>
      <c r="E105" s="60" t="s">
        <v>48</v>
      </c>
      <c r="F105" s="60" t="s">
        <v>49</v>
      </c>
      <c r="G105" s="60" t="s">
        <v>50</v>
      </c>
      <c r="H105" s="60" t="s">
        <v>51</v>
      </c>
      <c r="I105" s="60" t="s">
        <v>52</v>
      </c>
      <c r="J105" s="60" t="s">
        <v>53</v>
      </c>
      <c r="K105" s="60" t="s">
        <v>54</v>
      </c>
      <c r="L105" s="60" t="s">
        <v>55</v>
      </c>
      <c r="M105" s="60" t="s">
        <v>56</v>
      </c>
      <c r="N105" s="60" t="s">
        <v>57</v>
      </c>
    </row>
    <row r="106" spans="2:14" ht="15" customHeight="1" x14ac:dyDescent="0.2">
      <c r="B106" s="23" t="s">
        <v>32</v>
      </c>
      <c r="C106" s="230"/>
      <c r="D106" s="216"/>
      <c r="E106" s="63"/>
      <c r="F106" s="63"/>
      <c r="G106" s="63"/>
      <c r="H106" s="63"/>
      <c r="I106" s="63"/>
      <c r="J106" s="63"/>
      <c r="K106" s="27"/>
      <c r="L106" s="27"/>
      <c r="M106" s="27"/>
      <c r="N106" s="27"/>
    </row>
    <row r="107" spans="2:14" ht="15" customHeight="1" x14ac:dyDescent="0.2">
      <c r="B107" s="23" t="s">
        <v>33</v>
      </c>
      <c r="C107" s="231"/>
      <c r="D107" s="232"/>
      <c r="E107" s="46"/>
      <c r="F107" s="46"/>
      <c r="G107" s="46"/>
      <c r="H107" s="46"/>
      <c r="I107" s="46"/>
      <c r="J107" s="46"/>
      <c r="K107" s="27"/>
      <c r="L107" s="27"/>
      <c r="M107" s="27"/>
      <c r="N107" s="27"/>
    </row>
    <row r="108" spans="2:14" ht="15" customHeight="1" x14ac:dyDescent="0.2">
      <c r="B108" s="23" t="s">
        <v>34</v>
      </c>
      <c r="C108" s="231"/>
      <c r="D108" s="232"/>
      <c r="E108" s="46"/>
      <c r="F108" s="46"/>
      <c r="G108" s="46"/>
      <c r="H108" s="46"/>
      <c r="I108" s="46"/>
      <c r="J108" s="46"/>
      <c r="K108" s="27"/>
      <c r="L108" s="27"/>
      <c r="M108" s="27"/>
      <c r="N108" s="27"/>
    </row>
    <row r="109" spans="2:14" ht="15" customHeight="1" x14ac:dyDescent="0.2">
      <c r="B109" s="23" t="s">
        <v>103</v>
      </c>
      <c r="C109" s="231"/>
      <c r="D109" s="232"/>
      <c r="E109" s="46"/>
      <c r="F109" s="46"/>
      <c r="G109" s="46"/>
      <c r="H109" s="46"/>
      <c r="I109" s="46"/>
      <c r="J109" s="46"/>
      <c r="K109" s="27"/>
      <c r="L109" s="27"/>
      <c r="M109" s="27"/>
      <c r="N109" s="27"/>
    </row>
    <row r="110" spans="2:14" ht="15" customHeight="1" x14ac:dyDescent="0.2">
      <c r="B110" s="23" t="s">
        <v>35</v>
      </c>
      <c r="C110" s="228" t="str">
        <f>+IF(C109&gt;-1,IF((C109&lt;1.6),"CUMPLE","NO CUMPLE"),"NO CUMPLE")</f>
        <v>CUMPLE</v>
      </c>
      <c r="D110" s="229"/>
      <c r="E110" s="47" t="str">
        <f>+IF(E109&gt;-1,IF((E109&lt;1.6),"CUMPLE","NO CUMPLE"),"NO CUMPLE")</f>
        <v>CUMPLE</v>
      </c>
      <c r="F110" s="47" t="str">
        <f t="shared" ref="F110:J110" si="40">+IF(F109&gt;-1,IF((F109&lt;1.6),"CUMPLE","NO CUMPLE"),"NO CUMPLE")</f>
        <v>CUMPLE</v>
      </c>
      <c r="G110" s="47" t="str">
        <f t="shared" si="40"/>
        <v>CUMPLE</v>
      </c>
      <c r="H110" s="47" t="str">
        <f t="shared" si="40"/>
        <v>CUMPLE</v>
      </c>
      <c r="I110" s="47" t="str">
        <f t="shared" si="40"/>
        <v>CUMPLE</v>
      </c>
      <c r="J110" s="47" t="str">
        <f t="shared" si="40"/>
        <v>CUMPLE</v>
      </c>
      <c r="K110" s="27"/>
      <c r="L110" s="27"/>
      <c r="M110" s="27"/>
      <c r="N110" s="27"/>
    </row>
    <row r="111" spans="2:14" ht="6.95" customHeight="1" x14ac:dyDescent="0.2">
      <c r="B111" s="17"/>
      <c r="N111" s="18"/>
    </row>
    <row r="112" spans="2:14" ht="15" customHeight="1" x14ac:dyDescent="0.2">
      <c r="B112" s="22"/>
      <c r="C112" s="225" t="s">
        <v>58</v>
      </c>
      <c r="D112" s="225"/>
      <c r="E112" s="60" t="s">
        <v>59</v>
      </c>
      <c r="F112" s="60" t="s">
        <v>60</v>
      </c>
      <c r="G112" s="60" t="s">
        <v>61</v>
      </c>
      <c r="H112" s="60" t="s">
        <v>62</v>
      </c>
      <c r="I112" s="60" t="s">
        <v>63</v>
      </c>
      <c r="J112" s="60" t="s">
        <v>64</v>
      </c>
      <c r="K112" s="60" t="s">
        <v>65</v>
      </c>
      <c r="L112" s="60" t="s">
        <v>66</v>
      </c>
      <c r="M112" s="24"/>
      <c r="N112" s="25"/>
    </row>
    <row r="113" spans="2:14" ht="15" customHeight="1" x14ac:dyDescent="0.2">
      <c r="B113" s="23" t="s">
        <v>32</v>
      </c>
      <c r="C113" s="199"/>
      <c r="D113" s="214"/>
      <c r="E113" s="27"/>
      <c r="F113" s="27"/>
      <c r="G113" s="27"/>
      <c r="H113" s="27"/>
      <c r="I113" s="27"/>
      <c r="J113" s="28"/>
      <c r="K113" s="27"/>
      <c r="L113" s="27"/>
      <c r="M113" s="24"/>
      <c r="N113" s="25"/>
    </row>
    <row r="114" spans="2:14" ht="15" customHeight="1" x14ac:dyDescent="0.2">
      <c r="B114" s="23" t="s">
        <v>33</v>
      </c>
      <c r="C114" s="199"/>
      <c r="D114" s="214"/>
      <c r="E114" s="27"/>
      <c r="F114" s="27"/>
      <c r="G114" s="27"/>
      <c r="H114" s="27"/>
      <c r="I114" s="27"/>
      <c r="J114" s="28"/>
      <c r="K114" s="27"/>
      <c r="L114" s="27"/>
      <c r="M114" s="24"/>
      <c r="N114" s="25"/>
    </row>
    <row r="115" spans="2:14" ht="15" customHeight="1" x14ac:dyDescent="0.2">
      <c r="B115" s="23" t="s">
        <v>34</v>
      </c>
      <c r="C115" s="199"/>
      <c r="D115" s="214"/>
      <c r="E115" s="27"/>
      <c r="F115" s="27"/>
      <c r="G115" s="27"/>
      <c r="H115" s="27"/>
      <c r="I115" s="27"/>
      <c r="J115" s="28"/>
      <c r="K115" s="27"/>
      <c r="L115" s="27"/>
      <c r="M115" s="24"/>
      <c r="N115" s="25"/>
    </row>
    <row r="116" spans="2:14" ht="15" customHeight="1" x14ac:dyDescent="0.2">
      <c r="B116" s="23" t="s">
        <v>103</v>
      </c>
      <c r="C116" s="199"/>
      <c r="D116" s="214"/>
      <c r="E116" s="27"/>
      <c r="F116" s="27"/>
      <c r="G116" s="27"/>
      <c r="H116" s="27"/>
      <c r="I116" s="27"/>
      <c r="J116" s="28"/>
      <c r="K116" s="27"/>
      <c r="L116" s="27"/>
      <c r="M116" s="24"/>
      <c r="N116" s="25"/>
    </row>
    <row r="117" spans="2:14" ht="15" customHeight="1" x14ac:dyDescent="0.2">
      <c r="B117" s="23" t="s">
        <v>35</v>
      </c>
      <c r="C117" s="199"/>
      <c r="D117" s="214"/>
      <c r="E117" s="27"/>
      <c r="F117" s="27"/>
      <c r="G117" s="27"/>
      <c r="H117" s="27"/>
      <c r="I117" s="27"/>
      <c r="J117" s="28"/>
      <c r="K117" s="27"/>
      <c r="L117" s="27"/>
      <c r="M117" s="24"/>
      <c r="N117" s="25"/>
    </row>
    <row r="118" spans="2:14" ht="5.0999999999999996" customHeight="1" x14ac:dyDescent="0.2">
      <c r="B118" s="19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1"/>
    </row>
    <row r="119" spans="2:14" ht="18" customHeight="1" x14ac:dyDescent="0.2">
      <c r="B119" s="140" t="s">
        <v>31</v>
      </c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2"/>
    </row>
    <row r="120" spans="2:14" x14ac:dyDescent="0.2">
      <c r="B120" s="29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1"/>
    </row>
    <row r="121" spans="2:14" x14ac:dyDescent="0.2">
      <c r="B121" s="32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4"/>
    </row>
    <row r="122" spans="2:14" x14ac:dyDescent="0.2">
      <c r="B122" s="32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4"/>
    </row>
    <row r="123" spans="2:14" x14ac:dyDescent="0.2">
      <c r="B123" s="32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4"/>
    </row>
    <row r="124" spans="2:14" x14ac:dyDescent="0.2">
      <c r="B124" s="35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7"/>
    </row>
    <row r="125" spans="2:14" ht="8.1" customHeight="1" x14ac:dyDescent="0.2"/>
  </sheetData>
  <sheetProtection algorithmName="SHA-512" hashValue="RyzeNXXg6gFYJ1G6OwmIbONC/cz0APfgA8Q7X3B3LD6q85sQ4Ob40knGeSaNg81YOHcCniU6vof35BKo49IRlg==" saltValue="58Btkgp0iz4lLYIrKnOaUQ==" spinCount="100000" sheet="1" objects="1" scenarios="1"/>
  <mergeCells count="233">
    <mergeCell ref="C115:D115"/>
    <mergeCell ref="C116:D116"/>
    <mergeCell ref="C117:D117"/>
    <mergeCell ref="B119:N119"/>
    <mergeCell ref="C108:D108"/>
    <mergeCell ref="C109:D109"/>
    <mergeCell ref="C110:D110"/>
    <mergeCell ref="C112:D112"/>
    <mergeCell ref="C113:D113"/>
    <mergeCell ref="C114:D114"/>
    <mergeCell ref="C98:D98"/>
    <mergeCell ref="C99:D99"/>
    <mergeCell ref="C103:D103"/>
    <mergeCell ref="C105:D105"/>
    <mergeCell ref="C106:D106"/>
    <mergeCell ref="C107:D107"/>
    <mergeCell ref="C95:E95"/>
    <mergeCell ref="F95:G95"/>
    <mergeCell ref="H95:I95"/>
    <mergeCell ref="C100:D100"/>
    <mergeCell ref="C101:D101"/>
    <mergeCell ref="C102:D102"/>
    <mergeCell ref="J95:K95"/>
    <mergeCell ref="L95:N95"/>
    <mergeCell ref="C96:D96"/>
    <mergeCell ref="E96:G96"/>
    <mergeCell ref="H96:I96"/>
    <mergeCell ref="J96:K96"/>
    <mergeCell ref="L96:N96"/>
    <mergeCell ref="C88:D88"/>
    <mergeCell ref="E88:F88"/>
    <mergeCell ref="G88:H88"/>
    <mergeCell ref="K88:L88"/>
    <mergeCell ref="B92:N92"/>
    <mergeCell ref="B94:N94"/>
    <mergeCell ref="C86:D86"/>
    <mergeCell ref="E86:F86"/>
    <mergeCell ref="G86:H86"/>
    <mergeCell ref="K86:L86"/>
    <mergeCell ref="C87:D87"/>
    <mergeCell ref="E87:F87"/>
    <mergeCell ref="G87:H87"/>
    <mergeCell ref="K87:L87"/>
    <mergeCell ref="B62:N62"/>
    <mergeCell ref="B82:N82"/>
    <mergeCell ref="E84:F85"/>
    <mergeCell ref="G84:H85"/>
    <mergeCell ref="I84:J84"/>
    <mergeCell ref="K84:L85"/>
    <mergeCell ref="B55:N55"/>
    <mergeCell ref="B56:N56"/>
    <mergeCell ref="B57:D60"/>
    <mergeCell ref="E57:L60"/>
    <mergeCell ref="M57:N57"/>
    <mergeCell ref="M58:N58"/>
    <mergeCell ref="M59:N59"/>
    <mergeCell ref="M60:N60"/>
    <mergeCell ref="I53:J53"/>
    <mergeCell ref="K53:L53"/>
    <mergeCell ref="M53:N53"/>
    <mergeCell ref="I54:J54"/>
    <mergeCell ref="K54:L54"/>
    <mergeCell ref="M54:N54"/>
    <mergeCell ref="B48:N48"/>
    <mergeCell ref="B50:D50"/>
    <mergeCell ref="E50:F50"/>
    <mergeCell ref="G50:H50"/>
    <mergeCell ref="I50:J50"/>
    <mergeCell ref="K50:L50"/>
    <mergeCell ref="M50:N50"/>
    <mergeCell ref="B47:D47"/>
    <mergeCell ref="E47:F47"/>
    <mergeCell ref="G47:H47"/>
    <mergeCell ref="I47:J47"/>
    <mergeCell ref="K47:L47"/>
    <mergeCell ref="M47:N47"/>
    <mergeCell ref="B46:C46"/>
    <mergeCell ref="E46:F46"/>
    <mergeCell ref="G46:H46"/>
    <mergeCell ref="I46:J46"/>
    <mergeCell ref="K46:L46"/>
    <mergeCell ref="M46:N46"/>
    <mergeCell ref="B45:C45"/>
    <mergeCell ref="E45:F45"/>
    <mergeCell ref="G45:H45"/>
    <mergeCell ref="I45:J45"/>
    <mergeCell ref="K45:L45"/>
    <mergeCell ref="M45:N45"/>
    <mergeCell ref="B44:C44"/>
    <mergeCell ref="E44:F44"/>
    <mergeCell ref="G44:H44"/>
    <mergeCell ref="I44:J44"/>
    <mergeCell ref="K44:L44"/>
    <mergeCell ref="M44:N44"/>
    <mergeCell ref="B43:C43"/>
    <mergeCell ref="E43:F43"/>
    <mergeCell ref="G43:H43"/>
    <mergeCell ref="I43:J43"/>
    <mergeCell ref="K43:L43"/>
    <mergeCell ref="M43:N43"/>
    <mergeCell ref="B41:N41"/>
    <mergeCell ref="B42:C42"/>
    <mergeCell ref="E42:F42"/>
    <mergeCell ref="G42:H42"/>
    <mergeCell ref="I42:J42"/>
    <mergeCell ref="K42:L42"/>
    <mergeCell ref="M42:N42"/>
    <mergeCell ref="B40:D40"/>
    <mergeCell ref="E40:F40"/>
    <mergeCell ref="G40:H40"/>
    <mergeCell ref="I40:J40"/>
    <mergeCell ref="K40:L40"/>
    <mergeCell ref="M40:N40"/>
    <mergeCell ref="B39:D39"/>
    <mergeCell ref="E39:F39"/>
    <mergeCell ref="G39:H39"/>
    <mergeCell ref="I39:J39"/>
    <mergeCell ref="K39:L39"/>
    <mergeCell ref="M39:N39"/>
    <mergeCell ref="B38:D38"/>
    <mergeCell ref="E38:F38"/>
    <mergeCell ref="G38:H38"/>
    <mergeCell ref="I38:J38"/>
    <mergeCell ref="K38:L38"/>
    <mergeCell ref="M38:N38"/>
    <mergeCell ref="B37:D37"/>
    <mergeCell ref="E37:F37"/>
    <mergeCell ref="G37:H37"/>
    <mergeCell ref="I37:J37"/>
    <mergeCell ref="K37:L37"/>
    <mergeCell ref="M37:N37"/>
    <mergeCell ref="B36:D36"/>
    <mergeCell ref="E36:F36"/>
    <mergeCell ref="G36:H36"/>
    <mergeCell ref="I36:J36"/>
    <mergeCell ref="K36:L36"/>
    <mergeCell ref="M36:N36"/>
    <mergeCell ref="M34:N34"/>
    <mergeCell ref="B35:D35"/>
    <mergeCell ref="E35:F35"/>
    <mergeCell ref="G35:H35"/>
    <mergeCell ref="I35:J35"/>
    <mergeCell ref="K35:L35"/>
    <mergeCell ref="M35:N35"/>
    <mergeCell ref="B33:D34"/>
    <mergeCell ref="E33:F33"/>
    <mergeCell ref="G33:H33"/>
    <mergeCell ref="I33:J33"/>
    <mergeCell ref="K33:L33"/>
    <mergeCell ref="M33:N33"/>
    <mergeCell ref="E34:F34"/>
    <mergeCell ref="G34:H34"/>
    <mergeCell ref="I34:J34"/>
    <mergeCell ref="K34:L34"/>
    <mergeCell ref="B31:D31"/>
    <mergeCell ref="E31:F31"/>
    <mergeCell ref="G31:H31"/>
    <mergeCell ref="I31:J31"/>
    <mergeCell ref="K31:L31"/>
    <mergeCell ref="M31:N31"/>
    <mergeCell ref="B30:D30"/>
    <mergeCell ref="E30:F30"/>
    <mergeCell ref="G30:H30"/>
    <mergeCell ref="I30:J30"/>
    <mergeCell ref="K30:L30"/>
    <mergeCell ref="M30:N30"/>
    <mergeCell ref="D24:E24"/>
    <mergeCell ref="F24:G24"/>
    <mergeCell ref="H24:I24"/>
    <mergeCell ref="J24:K24"/>
    <mergeCell ref="B27:N27"/>
    <mergeCell ref="B29:D29"/>
    <mergeCell ref="E29:K29"/>
    <mergeCell ref="M29:N29"/>
    <mergeCell ref="B19:N19"/>
    <mergeCell ref="F22:G22"/>
    <mergeCell ref="H22:I22"/>
    <mergeCell ref="J22:K22"/>
    <mergeCell ref="D23:E23"/>
    <mergeCell ref="F23:G23"/>
    <mergeCell ref="H23:I23"/>
    <mergeCell ref="J23:K23"/>
    <mergeCell ref="C9:E9"/>
    <mergeCell ref="I9:J9"/>
    <mergeCell ref="K9:L9"/>
    <mergeCell ref="M9:N9"/>
    <mergeCell ref="C10:G10"/>
    <mergeCell ref="K10:L10"/>
    <mergeCell ref="B11:N11"/>
    <mergeCell ref="B12:N12"/>
    <mergeCell ref="B13:E13"/>
    <mergeCell ref="F13:I13"/>
    <mergeCell ref="J13:N13"/>
    <mergeCell ref="C14:E14"/>
    <mergeCell ref="F14:G14"/>
    <mergeCell ref="H14:I14"/>
    <mergeCell ref="J14:K14"/>
    <mergeCell ref="L14:N14"/>
    <mergeCell ref="C17:D17"/>
    <mergeCell ref="F17:G17"/>
    <mergeCell ref="H17:I17"/>
    <mergeCell ref="J17:K17"/>
    <mergeCell ref="L17:N17"/>
    <mergeCell ref="L15:N15"/>
    <mergeCell ref="C16:E16"/>
    <mergeCell ref="F16:G16"/>
    <mergeCell ref="H16:I16"/>
    <mergeCell ref="J16:K16"/>
    <mergeCell ref="L16:N16"/>
    <mergeCell ref="B32:D32"/>
    <mergeCell ref="E32:F32"/>
    <mergeCell ref="G32:H32"/>
    <mergeCell ref="I32:J32"/>
    <mergeCell ref="K32:L32"/>
    <mergeCell ref="M32:N32"/>
    <mergeCell ref="M21:N21"/>
    <mergeCell ref="B2:D5"/>
    <mergeCell ref="E2:L5"/>
    <mergeCell ref="M2:N2"/>
    <mergeCell ref="M3:N3"/>
    <mergeCell ref="M4:N4"/>
    <mergeCell ref="M5:N5"/>
    <mergeCell ref="B6:N6"/>
    <mergeCell ref="B7:G7"/>
    <mergeCell ref="H7:N7"/>
    <mergeCell ref="C8:E8"/>
    <mergeCell ref="K8:L8"/>
    <mergeCell ref="M8:N8"/>
    <mergeCell ref="B18:N18"/>
    <mergeCell ref="C15:E15"/>
    <mergeCell ref="F15:G15"/>
    <mergeCell ref="H15:I15"/>
    <mergeCell ref="J15:K1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8" fitToHeight="0" orientation="portrait" r:id="rId1"/>
  <headerFooter alignWithMargins="0">
    <oddHeader xml:space="preserve">&amp;R
</oddHeader>
  </headerFooter>
  <rowBreaks count="1" manualBreakCount="1">
    <brk id="55" max="14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Listas!$B$3:$B$5</xm:f>
          </x14:formula1>
          <xm:sqref>J8</xm:sqref>
        </x14:dataValidation>
        <x14:dataValidation type="list" allowBlank="1" showInputMessage="1" showErrorMessage="1" xr:uid="{00000000-0002-0000-0600-000001000000}">
          <x14:formula1>
            <xm:f>Listas!$C$3:$C$4</xm:f>
          </x14:formula1>
          <xm:sqref>M10</xm:sqref>
        </x14:dataValidation>
        <x14:dataValidation type="list" allowBlank="1" showInputMessage="1" showErrorMessage="1" xr:uid="{00000000-0002-0000-0600-000002000000}">
          <x14:formula1>
            <xm:f>Listas!$D$3:$D$5</xm:f>
          </x14:formula1>
          <xm:sqref>L14:N14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"/>
  <dimension ref="B1:D5"/>
  <sheetViews>
    <sheetView workbookViewId="0">
      <selection activeCell="C22" sqref="C22"/>
    </sheetView>
  </sheetViews>
  <sheetFormatPr baseColWidth="10" defaultRowHeight="15" x14ac:dyDescent="0.25"/>
  <cols>
    <col min="1" max="1" width="1.5703125" customWidth="1"/>
    <col min="2" max="2" width="12.42578125" customWidth="1"/>
    <col min="3" max="3" width="21.140625" customWidth="1"/>
    <col min="4" max="4" width="19.85546875" bestFit="1" customWidth="1"/>
  </cols>
  <sheetData>
    <row r="1" spans="2:4" ht="8.4499999999999993" customHeight="1" x14ac:dyDescent="0.25"/>
    <row r="2" spans="2:4" x14ac:dyDescent="0.25">
      <c r="B2" t="s">
        <v>89</v>
      </c>
      <c r="C2" t="s">
        <v>90</v>
      </c>
      <c r="D2" t="s">
        <v>93</v>
      </c>
    </row>
    <row r="3" spans="2:4" ht="14.45" customHeight="1" x14ac:dyDescent="0.25">
      <c r="B3" t="s">
        <v>77</v>
      </c>
      <c r="C3">
        <v>0.1</v>
      </c>
      <c r="D3" t="s">
        <v>104</v>
      </c>
    </row>
    <row r="4" spans="2:4" ht="18" x14ac:dyDescent="0.35">
      <c r="B4" t="s">
        <v>91</v>
      </c>
      <c r="C4">
        <v>0.01</v>
      </c>
      <c r="D4" t="s">
        <v>94</v>
      </c>
    </row>
    <row r="5" spans="2:4" ht="18" x14ac:dyDescent="0.35">
      <c r="B5" t="s">
        <v>92</v>
      </c>
      <c r="D5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CO-CA1</vt:lpstr>
      <vt:lpstr>Listas</vt:lpstr>
      <vt:lpstr>'CO-CA1'!Área_de_impresión</vt:lpstr>
      <vt:lpstr>'CO-CA1'!Print_Area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JLLP</dc:creator>
  <cp:lastModifiedBy>Jhoana Mendoza</cp:lastModifiedBy>
  <cp:lastPrinted>2022-06-08T13:34:19Z</cp:lastPrinted>
  <dcterms:created xsi:type="dcterms:W3CDTF">2015-01-24T19:13:32Z</dcterms:created>
  <dcterms:modified xsi:type="dcterms:W3CDTF">2023-11-02T20:41:35Z</dcterms:modified>
</cp:coreProperties>
</file>