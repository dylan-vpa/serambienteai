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hoana.mendoza\Downloads\"/>
    </mc:Choice>
  </mc:AlternateContent>
  <xr:revisionPtr revIDLastSave="0" documentId="13_ncr:1_{6672B8DA-F484-43C7-B4ED-DDBFCA2EB460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NOx" sheetId="40" r:id="rId1"/>
    <sheet name="GPT -Eficiecia de Conversión " sheetId="49" r:id="rId2"/>
    <sheet name="Listas" sheetId="20" state="hidden" r:id="rId3"/>
  </sheets>
  <externalReferences>
    <externalReference r:id="rId4"/>
  </externalReferences>
  <definedNames>
    <definedName name="_xlnm.Print_Area" localSheetId="0">NOx!$A$1:$O$124</definedName>
    <definedName name="Print_Area" localSheetId="0">NOx!$B$2:$N$79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" i="40" l="1"/>
  <c r="J10" i="40"/>
  <c r="E86" i="40"/>
  <c r="K87" i="40" l="1"/>
  <c r="J87" i="40"/>
  <c r="K86" i="40"/>
  <c r="J85" i="40"/>
  <c r="K85" i="40"/>
  <c r="J86" i="40"/>
  <c r="C102" i="40" l="1"/>
  <c r="D14" i="49" l="1"/>
  <c r="E14" i="49"/>
  <c r="F14" i="49"/>
  <c r="G14" i="49"/>
  <c r="H14" i="49"/>
  <c r="I14" i="49"/>
  <c r="J14" i="49"/>
  <c r="K14" i="49"/>
  <c r="L14" i="49"/>
  <c r="M14" i="49"/>
  <c r="F20" i="49"/>
  <c r="P26" i="49" s="1"/>
  <c r="G20" i="49"/>
  <c r="I26" i="49" s="1"/>
  <c r="H20" i="49"/>
  <c r="P27" i="49" s="1"/>
  <c r="I20" i="49"/>
  <c r="I27" i="49" s="1"/>
  <c r="J20" i="49"/>
  <c r="P28" i="49" s="1"/>
  <c r="K20" i="49"/>
  <c r="I28" i="49" s="1"/>
  <c r="L20" i="49"/>
  <c r="P29" i="49" s="1"/>
  <c r="M20" i="49"/>
  <c r="I29" i="49" s="1"/>
  <c r="B25" i="49"/>
  <c r="E25" i="49"/>
  <c r="B26" i="49"/>
  <c r="E26" i="49"/>
  <c r="B27" i="49"/>
  <c r="E27" i="49"/>
  <c r="B28" i="49"/>
  <c r="E28" i="49"/>
  <c r="B29" i="49"/>
  <c r="E29" i="49"/>
  <c r="P30" i="49" l="1"/>
  <c r="J84" i="40" l="1"/>
  <c r="G83" i="40"/>
  <c r="E83" i="40"/>
  <c r="N41" i="40"/>
  <c r="M41" i="40"/>
  <c r="L41" i="40"/>
  <c r="K41" i="40"/>
  <c r="J41" i="40"/>
  <c r="H41" i="40"/>
  <c r="G41" i="40"/>
  <c r="F41" i="40"/>
  <c r="E41" i="40"/>
  <c r="D41" i="40"/>
  <c r="N39" i="40"/>
  <c r="G29" i="49" s="1"/>
  <c r="L29" i="49" s="1"/>
  <c r="M39" i="40"/>
  <c r="G28" i="49" s="1"/>
  <c r="L28" i="49" s="1"/>
  <c r="L39" i="40"/>
  <c r="K39" i="40"/>
  <c r="J39" i="40"/>
  <c r="J42" i="40" s="1"/>
  <c r="H39" i="40"/>
  <c r="H42" i="40" s="1"/>
  <c r="G39" i="40"/>
  <c r="G42" i="40" s="1"/>
  <c r="F39" i="40"/>
  <c r="F42" i="40" s="1"/>
  <c r="E39" i="40"/>
  <c r="E42" i="40" s="1"/>
  <c r="D39" i="40"/>
  <c r="D42" i="40" s="1"/>
  <c r="N33" i="40"/>
  <c r="M33" i="40"/>
  <c r="L33" i="40"/>
  <c r="K33" i="40"/>
  <c r="J33" i="40"/>
  <c r="H33" i="40"/>
  <c r="G33" i="40"/>
  <c r="F33" i="40"/>
  <c r="E33" i="40"/>
  <c r="D33" i="40"/>
  <c r="J23" i="40"/>
  <c r="J22" i="40"/>
  <c r="J21" i="40"/>
  <c r="G21" i="40"/>
  <c r="E21" i="40"/>
  <c r="K42" i="40" l="1"/>
  <c r="G26" i="49"/>
  <c r="L26" i="49" s="1"/>
  <c r="K30" i="49" s="1"/>
  <c r="L42" i="40"/>
  <c r="G27" i="49"/>
  <c r="L27" i="49" s="1"/>
  <c r="M42" i="40"/>
  <c r="N42" i="40"/>
  <c r="G53" i="40"/>
  <c r="F53" i="40"/>
  <c r="E53" i="40"/>
  <c r="M53" i="40" l="1"/>
  <c r="K53" i="40"/>
  <c r="L53" i="40"/>
  <c r="F43" i="40"/>
  <c r="E43" i="40"/>
  <c r="D43" i="40"/>
  <c r="H43" i="40"/>
  <c r="G43" i="40"/>
  <c r="N43" i="40"/>
  <c r="M43" i="40"/>
  <c r="L43" i="40"/>
  <c r="K43" i="40"/>
  <c r="J43" i="40" l="1"/>
  <c r="J45" i="40" s="1"/>
  <c r="G44" i="40"/>
  <c r="G49" i="40"/>
  <c r="G45" i="40"/>
  <c r="D45" i="40"/>
  <c r="D44" i="40"/>
  <c r="N45" i="40"/>
  <c r="N49" i="40"/>
  <c r="N44" i="40"/>
  <c r="H45" i="40"/>
  <c r="H44" i="40"/>
  <c r="H49" i="40"/>
  <c r="E45" i="40"/>
  <c r="E49" i="40"/>
  <c r="E44" i="40"/>
  <c r="K44" i="40"/>
  <c r="K49" i="40"/>
  <c r="K45" i="40"/>
  <c r="F45" i="40"/>
  <c r="F44" i="40"/>
  <c r="F49" i="40"/>
  <c r="L49" i="40"/>
  <c r="L44" i="40"/>
  <c r="L45" i="40"/>
  <c r="M44" i="40"/>
  <c r="M45" i="40"/>
  <c r="M49" i="40"/>
  <c r="J44" i="40" l="1"/>
  <c r="J46" i="40" s="1"/>
  <c r="N46" i="40"/>
  <c r="H46" i="40"/>
  <c r="M46" i="40"/>
  <c r="K46" i="40"/>
  <c r="E46" i="40"/>
  <c r="D46" i="40"/>
  <c r="F46" i="40"/>
  <c r="L46" i="40"/>
  <c r="G46" i="4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H9" authorId="0" shapeId="0" xr:uid="{E7AD1F41-6992-46BD-A5E8-F753D3C60192}">
      <text>
        <r>
          <rPr>
            <b/>
            <sz val="9"/>
            <color indexed="81"/>
            <rFont val="Tahoma"/>
            <family val="2"/>
          </rPr>
          <t xml:space="preserve">Admin:
</t>
        </r>
        <r>
          <rPr>
            <sz val="9"/>
            <color indexed="81"/>
            <rFont val="Tahoma"/>
            <family val="2"/>
          </rPr>
          <t xml:space="preserve">Digitar el código interno del equipo, ejemplo: NOx-001,NOx-003
</t>
        </r>
      </text>
    </comment>
    <comment ref="M10" authorId="0" shapeId="0" xr:uid="{E4BAB347-FF6A-4BC9-9E41-0D53A69D4C30}">
      <text>
        <r>
          <rPr>
            <b/>
            <sz val="8"/>
            <color indexed="81"/>
            <rFont val="Tahoma"/>
            <family val="2"/>
          </rPr>
          <t xml:space="preserve">Admin:
</t>
        </r>
        <r>
          <rPr>
            <sz val="8"/>
            <color indexed="81"/>
            <rFont val="Tahoma"/>
            <family val="2"/>
          </rPr>
          <t xml:space="preserve">Ingresar la resolución del equipo. Tener en cuenta el numero de decimales después de la coma que reporte el equipo, ejemplo: 0,01 ppm, 0,01 ppb, 0,1 ppb.
</t>
        </r>
      </text>
    </comment>
    <comment ref="L15" authorId="0" shapeId="0" xr:uid="{2AADFCEA-510C-4293-9320-5456DB963BDD}">
      <text>
        <r>
          <rPr>
            <b/>
            <sz val="8"/>
            <color indexed="81"/>
            <rFont val="Tahoma"/>
            <family val="2"/>
          </rPr>
          <t>Admin:</t>
        </r>
        <r>
          <rPr>
            <sz val="8"/>
            <color indexed="81"/>
            <rFont val="Tahoma"/>
            <family val="2"/>
          </rPr>
          <t xml:space="preserve">
Se debe digitar La marca y el serían de la Botella de gas NO (Bala).</t>
        </r>
      </text>
    </comment>
    <comment ref="L16" authorId="0" shapeId="0" xr:uid="{3FD54806-BA00-448A-A7DA-52F352B2572A}">
      <text>
        <r>
          <rPr>
            <b/>
            <sz val="8"/>
            <color indexed="81"/>
            <rFont val="Tahoma"/>
            <family val="2"/>
          </rPr>
          <t>Admin:</t>
        </r>
        <r>
          <rPr>
            <sz val="8"/>
            <color indexed="81"/>
            <rFont val="Tahoma"/>
            <family val="2"/>
          </rPr>
          <t xml:space="preserve">
Se debe digitar la Concentración (en ppm) que se reporta en el certificado de los gases patrón.</t>
        </r>
      </text>
    </comment>
    <comment ref="G17" authorId="0" shapeId="0" xr:uid="{F6D3AC16-4503-499C-A9CC-C0D0FE4858AC}">
      <text>
        <r>
          <rPr>
            <b/>
            <sz val="8"/>
            <color indexed="81"/>
            <rFont val="Tahoma"/>
            <family val="2"/>
          </rPr>
          <t xml:space="preserve">Admin:
</t>
        </r>
        <r>
          <rPr>
            <sz val="8"/>
            <color indexed="81"/>
            <rFont val="Tahoma"/>
            <family val="2"/>
          </rPr>
          <t>Tomar de informes de validación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7" authorId="0" shapeId="0" xr:uid="{7BF4AE01-F9E3-43F5-B110-49C002238317}">
      <text>
        <r>
          <rPr>
            <b/>
            <sz val="8"/>
            <color indexed="81"/>
            <rFont val="Tahoma"/>
            <family val="2"/>
          </rPr>
          <t>Admin:</t>
        </r>
        <r>
          <rPr>
            <sz val="8"/>
            <color indexed="81"/>
            <rFont val="Tahoma"/>
            <family val="2"/>
          </rPr>
          <t xml:space="preserve">
Se debe digitar la incertidumbre que reporta el certificado de los gases patrón.</t>
        </r>
      </text>
    </comment>
  </commentList>
</comments>
</file>

<file path=xl/sharedStrings.xml><?xml version="1.0" encoding="utf-8"?>
<sst xmlns="http://schemas.openxmlformats.org/spreadsheetml/2006/main" count="194" uniqueCount="136">
  <si>
    <t>ESPECIFICACIONES DEL EQUIPO</t>
  </si>
  <si>
    <t>ESPECIFICACIONES DE LOS PATRÓNES</t>
  </si>
  <si>
    <t>% FE</t>
  </si>
  <si>
    <t>PROMEDIO</t>
  </si>
  <si>
    <t>INFORMACIÓN DEL SERVICIO</t>
  </si>
  <si>
    <t>Fecha:</t>
  </si>
  <si>
    <t>OT:</t>
  </si>
  <si>
    <t>Responsable:</t>
  </si>
  <si>
    <t>Marca/Modelo:</t>
  </si>
  <si>
    <t>Equipo:</t>
  </si>
  <si>
    <t>Unidad de medida:</t>
  </si>
  <si>
    <t>Código:</t>
  </si>
  <si>
    <t>Cliente:</t>
  </si>
  <si>
    <t>-</t>
  </si>
  <si>
    <t>Patrón Aire Cero</t>
  </si>
  <si>
    <t>Calibrador - Dilutor de Gases</t>
  </si>
  <si>
    <t>Gas patrón trazable</t>
  </si>
  <si>
    <t>Incertidumbre Exp. (U):</t>
  </si>
  <si>
    <t>Eliminación trazas:</t>
  </si>
  <si>
    <t>Concentración [ppm]:</t>
  </si>
  <si>
    <t>Marca/Serial:</t>
  </si>
  <si>
    <t># Medida</t>
  </si>
  <si>
    <t>Estación/Coordenada:</t>
  </si>
  <si>
    <t>Cero Gas</t>
  </si>
  <si>
    <t>Span Gas</t>
  </si>
  <si>
    <t>CALIBRACIÓN INICIAL - AJUSTE CERO/SPAN</t>
  </si>
  <si>
    <t>CHEQUEO 14 DÍAS - CHEQUEO QC</t>
  </si>
  <si>
    <t>VERIFICACIÓN MULTIPUNTO - CÁLCULOS Y CRITERIOS DE ACEPTACIÓN</t>
  </si>
  <si>
    <t>Criterio aceptación</t>
  </si>
  <si>
    <t>Dif. [%]</t>
  </si>
  <si>
    <t>CONDICONES AMBIENTALESDEL SHELTER/RESINTO</t>
  </si>
  <si>
    <t>OBSERVACIONES</t>
  </si>
  <si>
    <t>Fecha [dd-mm-aa]:</t>
  </si>
  <si>
    <t>Temperatura Max. [°C]:</t>
  </si>
  <si>
    <t>Temperatura Min. [°C]:</t>
  </si>
  <si>
    <t>Cumplimiento Criterios:</t>
  </si>
  <si>
    <t>Día 1</t>
  </si>
  <si>
    <t>Día 2</t>
  </si>
  <si>
    <t>Día 3</t>
  </si>
  <si>
    <t>Día 4</t>
  </si>
  <si>
    <t>Día 5</t>
  </si>
  <si>
    <t>Día 6</t>
  </si>
  <si>
    <t>Día 7</t>
  </si>
  <si>
    <t>Día 8</t>
  </si>
  <si>
    <t>Día 9</t>
  </si>
  <si>
    <t>Día 10</t>
  </si>
  <si>
    <t>Día 11</t>
  </si>
  <si>
    <t>Día 12</t>
  </si>
  <si>
    <t>Día 13</t>
  </si>
  <si>
    <t>Día 14</t>
  </si>
  <si>
    <t>Día 15</t>
  </si>
  <si>
    <t>Día 16</t>
  </si>
  <si>
    <t>Día 17</t>
  </si>
  <si>
    <t>Día 18</t>
  </si>
  <si>
    <t>Día 19</t>
  </si>
  <si>
    <t>Día 20</t>
  </si>
  <si>
    <t>Día 21</t>
  </si>
  <si>
    <t>Día 22</t>
  </si>
  <si>
    <t>Día 23</t>
  </si>
  <si>
    <t>Día 24</t>
  </si>
  <si>
    <t>Día 25</t>
  </si>
  <si>
    <t>Día 26</t>
  </si>
  <si>
    <t>Día 27</t>
  </si>
  <si>
    <t>Día 28</t>
  </si>
  <si>
    <t>Día 29</t>
  </si>
  <si>
    <t>Día 30</t>
  </si>
  <si>
    <t>Día 31</t>
  </si>
  <si>
    <t>Criterio de aceptación 40 CFR, part 50</t>
  </si>
  <si>
    <t>Pendiente (m)</t>
  </si>
  <si>
    <t>Intercepto (b)</t>
  </si>
  <si>
    <t>CO</t>
  </si>
  <si>
    <t>Analizadores</t>
  </si>
  <si>
    <t>Resolución Analizador</t>
  </si>
  <si>
    <r>
      <t>O</t>
    </r>
    <r>
      <rPr>
        <vertAlign val="subscript"/>
        <sz val="11"/>
        <color theme="1"/>
        <rFont val="Calibri"/>
        <family val="2"/>
        <scheme val="minor"/>
      </rPr>
      <t>3</t>
    </r>
  </si>
  <si>
    <r>
      <t>SO</t>
    </r>
    <r>
      <rPr>
        <vertAlign val="subscript"/>
        <sz val="11"/>
        <color theme="1"/>
        <rFont val="Calibri"/>
        <family val="2"/>
        <scheme val="minor"/>
      </rPr>
      <t>2</t>
    </r>
  </si>
  <si>
    <t>Gas patrón Trazable</t>
  </si>
  <si>
    <t>Generador O3</t>
  </si>
  <si>
    <t>Equipo Registro Temp:</t>
  </si>
  <si>
    <t>Código Interno:</t>
  </si>
  <si>
    <t>Datalogger Temp</t>
  </si>
  <si>
    <t>°C</t>
  </si>
  <si>
    <t>Especificaciones equipos de control de temperatura</t>
  </si>
  <si>
    <t>Tiempo de captura de datos:</t>
  </si>
  <si>
    <t>D. Estándar [°C]:</t>
  </si>
  <si>
    <t>Botella Gas Patrón CO</t>
  </si>
  <si>
    <t>Botella Gas Patrón SO2</t>
  </si>
  <si>
    <t>Precisión equipo:</t>
  </si>
  <si>
    <t>Aceptable</t>
  </si>
  <si>
    <t>QC Point (5,0 - 80,0 ppb)</t>
  </si>
  <si>
    <t>CURVA DE CALIBRACIÓN CANAL NOX</t>
  </si>
  <si>
    <t>CURVA DE CALIBRACIÓN CANAL NO</t>
  </si>
  <si>
    <t>CURVA DE CALIBRACIÓN</t>
  </si>
  <si>
    <t>Página 2 de 3</t>
  </si>
  <si>
    <t>Código: FO-PO-PSM-08-10</t>
  </si>
  <si>
    <t>Respuesta Calculada Mejor Recta [ppb]</t>
  </si>
  <si>
    <t>Respuesta Analizador [ppb]</t>
  </si>
  <si>
    <t>Salida Promedio del Calibrador [ppb]</t>
  </si>
  <si>
    <t xml:space="preserve">|NOx| Respuesta analizador </t>
  </si>
  <si>
    <t xml:space="preserve">|NO| Respuesta analizador </t>
  </si>
  <si>
    <t>|NO|Salida Calibrador [ppb]</t>
  </si>
  <si>
    <t>VERIFICACIÓN MULTIPUNTO - CANAL NOX</t>
  </si>
  <si>
    <t>VERIFICACIÓN MULTIPUNTO - CANAL NO</t>
  </si>
  <si>
    <t>Resolución Analizador:</t>
  </si>
  <si>
    <t>Página 1 de 3</t>
  </si>
  <si>
    <t>CURVA DE CALIBRACIÓN CANAL NO2</t>
  </si>
  <si>
    <t>Ec</t>
  </si>
  <si>
    <t>Eficiencia Convertidor</t>
  </si>
  <si>
    <t>Repuesta analizador NO2</t>
  </si>
  <si>
    <t>|NO2| Convertido Calculado [ppb]</t>
  </si>
  <si>
    <t>|NOx|REM [ppb]</t>
  </si>
  <si>
    <t>|NOx| ORIG [ppb]</t>
  </si>
  <si>
    <t>|NO2| Out Calibrador [ppb]</t>
  </si>
  <si>
    <t>PUNTOS TEÓRICOS %FE [%]</t>
  </si>
  <si>
    <t>EFICIENCIA CONVERTIDOR NO2</t>
  </si>
  <si>
    <t>|NOx| REM</t>
  </si>
  <si>
    <t xml:space="preserve">|NO2| Respuesta analizador </t>
  </si>
  <si>
    <t>|NO2|Salida Calibrador [ppb]</t>
  </si>
  <si>
    <t xml:space="preserve"> GPT - CANAL DE NO2</t>
  </si>
  <si>
    <t>CANA DE NO2 GPT - EFICIENCIA DE CONVERSIÓN</t>
  </si>
  <si>
    <t>Página 3 de 3</t>
  </si>
  <si>
    <t>FORMATO DE CALIBRACIÓN Y MEDICIÓN DE EQUIPOS  NO2 AUTOMÁTICOS</t>
  </si>
  <si>
    <t>24h</t>
  </si>
  <si>
    <t>UNI-T</t>
  </si>
  <si>
    <t>Analizador de NO2</t>
  </si>
  <si>
    <t>ppb</t>
  </si>
  <si>
    <r>
      <t>FORMATO DE CALIBRACIÓN Y MEDICIÓN DE EQUIPOS  NO</t>
    </r>
    <r>
      <rPr>
        <b/>
        <vertAlign val="subscript"/>
        <sz val="16"/>
        <rFont val="Avenir Next LT Pro"/>
        <family val="2"/>
      </rPr>
      <t>2</t>
    </r>
    <r>
      <rPr>
        <b/>
        <sz val="16"/>
        <rFont val="Avenir Next LT Pro"/>
        <family val="2"/>
      </rPr>
      <t xml:space="preserve"> AUTOMÁTICOS</t>
    </r>
  </si>
  <si>
    <r>
      <t>Mejor Recta -2% SPAN</t>
    </r>
    <r>
      <rPr>
        <b/>
        <vertAlign val="superscript"/>
        <sz val="9"/>
        <rFont val="Avenir Next LT Pro"/>
        <family val="2"/>
      </rPr>
      <t>1</t>
    </r>
    <r>
      <rPr>
        <b/>
        <sz val="9"/>
        <rFont val="Avenir Next LT Pro"/>
        <family val="2"/>
      </rPr>
      <t xml:space="preserve"> [ppb]</t>
    </r>
  </si>
  <si>
    <r>
      <t>Mejor Recta + 2% SPAN</t>
    </r>
    <r>
      <rPr>
        <b/>
        <vertAlign val="superscript"/>
        <sz val="9"/>
        <rFont val="Avenir Next LT Pro"/>
        <family val="2"/>
      </rPr>
      <t>1</t>
    </r>
    <r>
      <rPr>
        <b/>
        <sz val="9"/>
        <rFont val="Avenir Next LT Pro"/>
        <family val="2"/>
      </rPr>
      <t xml:space="preserve"> [ppb]</t>
    </r>
  </si>
  <si>
    <r>
      <rPr>
        <i/>
        <vertAlign val="superscript"/>
        <sz val="10"/>
        <rFont val="Avenir Next LT Pro"/>
        <family val="2"/>
      </rPr>
      <t>1</t>
    </r>
    <r>
      <rPr>
        <sz val="10"/>
        <rFont val="Avenir Next LT Pro"/>
        <family val="2"/>
      </rPr>
      <t>±</t>
    </r>
    <r>
      <rPr>
        <i/>
        <sz val="10"/>
        <rFont val="Avenir Next LT Pro"/>
        <family val="2"/>
      </rPr>
      <t>2% SPAN: ±2% concentración más alta probada, según 40 CFR, part 50</t>
    </r>
  </si>
  <si>
    <r>
      <t>Criterio QA Handbook Vol II, Appendix D</t>
    </r>
    <r>
      <rPr>
        <b/>
        <vertAlign val="superscript"/>
        <sz val="9"/>
        <rFont val="Avenir Next LT Pro"/>
        <family val="2"/>
      </rPr>
      <t>2</t>
    </r>
  </si>
  <si>
    <r>
      <rPr>
        <i/>
        <vertAlign val="superscript"/>
        <sz val="10"/>
        <rFont val="Avenir Next LT Pro"/>
        <family val="2"/>
      </rPr>
      <t>2</t>
    </r>
    <r>
      <rPr>
        <i/>
        <sz val="10"/>
        <rFont val="Avenir Next LT Pro"/>
        <family val="2"/>
      </rPr>
      <t>Este criterio es una recomendación según lo indica el QA Handbook Vol II, Appendix D</t>
    </r>
  </si>
  <si>
    <r>
      <t>R</t>
    </r>
    <r>
      <rPr>
        <b/>
        <vertAlign val="superscript"/>
        <sz val="9"/>
        <rFont val="Avenir Next LT Pro"/>
        <family val="2"/>
      </rPr>
      <t>2</t>
    </r>
  </si>
  <si>
    <r>
      <t>Aceptabilidad</t>
    </r>
    <r>
      <rPr>
        <b/>
        <vertAlign val="superscript"/>
        <sz val="10"/>
        <color theme="1"/>
        <rFont val="Avenir Next LT Pro"/>
        <family val="2"/>
      </rPr>
      <t>3</t>
    </r>
  </si>
  <si>
    <r>
      <t xml:space="preserve">                         </t>
    </r>
    <r>
      <rPr>
        <i/>
        <vertAlign val="superscript"/>
        <sz val="10"/>
        <rFont val="Avenir Next LT Pro"/>
        <family val="2"/>
      </rPr>
      <t>3</t>
    </r>
    <r>
      <rPr>
        <i/>
        <sz val="10"/>
        <rFont val="Avenir Next LT Pro"/>
        <family val="2"/>
      </rPr>
      <t>Revisar aceptabilidad del criterio según indica el Appendix D, QA Handbook Vol II (Critical Criterial)</t>
    </r>
  </si>
  <si>
    <t>Fecha: 28/08/2023</t>
  </si>
  <si>
    <t>Versión: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</si>
</sst>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000"/>
    <numFmt numFmtId="166" formatCode="0.000"/>
    <numFmt numFmtId="167" formatCode="#,##0.0"/>
    <numFmt numFmtId="168" formatCode="0.0%"/>
  </numFmts>
  <fonts count="3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vertAlign val="subscript"/>
      <sz val="11"/>
      <color theme="1"/>
      <name val="Calibri"/>
      <family val="2"/>
      <scheme val="minor"/>
    </font>
    <font>
      <sz val="10"/>
      <name val="Avenir Next LT Pro"/>
      <family val="2"/>
    </font>
    <font>
      <b/>
      <sz val="16"/>
      <name val="Avenir Next LT Pro"/>
      <family val="2"/>
    </font>
    <font>
      <b/>
      <vertAlign val="subscript"/>
      <sz val="16"/>
      <name val="Avenir Next LT Pro"/>
      <family val="2"/>
    </font>
    <font>
      <sz val="9"/>
      <name val="Avenir Next LT Pro"/>
      <family val="2"/>
    </font>
    <font>
      <sz val="9"/>
      <color indexed="8"/>
      <name val="Avenir Next LT Pro"/>
      <family val="2"/>
    </font>
    <font>
      <b/>
      <i/>
      <sz val="12"/>
      <name val="Avenir Next LT Pro"/>
      <family val="2"/>
    </font>
    <font>
      <b/>
      <sz val="10"/>
      <name val="Avenir Next LT Pro"/>
      <family val="2"/>
    </font>
    <font>
      <sz val="8"/>
      <name val="Avenir Next LT Pro"/>
      <family val="2"/>
    </font>
    <font>
      <b/>
      <sz val="9"/>
      <name val="Avenir Next LT Pro"/>
      <family val="2"/>
    </font>
    <font>
      <b/>
      <sz val="11"/>
      <name val="Avenir Next LT Pro"/>
      <family val="2"/>
    </font>
    <font>
      <sz val="10"/>
      <color theme="1"/>
      <name val="Avenir Next LT Pro"/>
      <family val="2"/>
    </font>
    <font>
      <b/>
      <i/>
      <sz val="11"/>
      <name val="Avenir Next LT Pro"/>
      <family val="2"/>
    </font>
    <font>
      <b/>
      <sz val="10"/>
      <color theme="1"/>
      <name val="Avenir Next LT Pro"/>
      <family val="2"/>
    </font>
    <font>
      <sz val="11"/>
      <color theme="1"/>
      <name val="Avenir Next LT Pro"/>
      <family val="2"/>
    </font>
    <font>
      <sz val="11"/>
      <name val="Avenir Next LT Pro"/>
      <family val="2"/>
    </font>
    <font>
      <b/>
      <sz val="12"/>
      <name val="Avenir Next LT Pro"/>
      <family val="2"/>
    </font>
    <font>
      <b/>
      <sz val="10"/>
      <color theme="3" tint="-0.249977111117893"/>
      <name val="Avenir Next LT Pro"/>
      <family val="2"/>
    </font>
    <font>
      <b/>
      <vertAlign val="superscript"/>
      <sz val="9"/>
      <name val="Avenir Next LT Pro"/>
      <family val="2"/>
    </font>
    <font>
      <i/>
      <sz val="10"/>
      <name val="Avenir Next LT Pro"/>
      <family val="2"/>
    </font>
    <font>
      <i/>
      <vertAlign val="superscript"/>
      <sz val="10"/>
      <name val="Avenir Next LT Pro"/>
      <family val="2"/>
    </font>
    <font>
      <b/>
      <vertAlign val="superscript"/>
      <sz val="10"/>
      <color theme="1"/>
      <name val="Avenir Next LT Pro"/>
      <family val="2"/>
    </font>
    <font>
      <sz val="10"/>
      <color rgb="FF4F81BD"/>
      <name val="Avenir Next LT Pro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9" fontId="2" fillId="0" borderId="0" applyFont="0" applyFill="0" applyBorder="0" applyAlignment="0" applyProtection="0"/>
  </cellStyleXfs>
  <cellXfs count="254">
    <xf numFmtId="0" fontId="0" fillId="0" borderId="0" xfId="0"/>
    <xf numFmtId="0" fontId="3" fillId="0" borderId="0" xfId="2" applyFont="1"/>
    <xf numFmtId="0" fontId="3" fillId="0" borderId="0" xfId="2" applyFont="1" applyAlignment="1">
      <alignment vertical="center"/>
    </xf>
    <xf numFmtId="0" fontId="3" fillId="0" borderId="0" xfId="2" applyFont="1" applyAlignment="1">
      <alignment horizontal="center" vertical="center"/>
    </xf>
    <xf numFmtId="0" fontId="15" fillId="0" borderId="3" xfId="2" applyFont="1" applyBorder="1" applyAlignment="1">
      <alignment horizontal="right" vertical="center" wrapText="1"/>
    </xf>
    <xf numFmtId="0" fontId="15" fillId="0" borderId="5" xfId="2" applyFont="1" applyBorder="1" applyAlignment="1">
      <alignment horizontal="right" vertical="center" wrapText="1"/>
    </xf>
    <xf numFmtId="0" fontId="9" fillId="0" borderId="3" xfId="2" applyFont="1" applyBorder="1" applyAlignment="1" applyProtection="1">
      <alignment horizontal="center" vertical="center" wrapText="1"/>
      <protection locked="0"/>
    </xf>
    <xf numFmtId="0" fontId="15" fillId="0" borderId="6" xfId="2" applyFont="1" applyBorder="1" applyAlignment="1">
      <alignment horizontal="right" vertical="center" wrapText="1"/>
    </xf>
    <xf numFmtId="14" fontId="16" fillId="0" borderId="3" xfId="2" applyNumberFormat="1" applyFont="1" applyBorder="1" applyAlignment="1" applyProtection="1">
      <alignment horizontal="center" vertical="center" wrapText="1"/>
      <protection locked="0"/>
    </xf>
    <xf numFmtId="0" fontId="17" fillId="0" borderId="3" xfId="2" applyFont="1" applyBorder="1" applyAlignment="1">
      <alignment horizontal="right" vertical="center" wrapText="1"/>
    </xf>
    <xf numFmtId="0" fontId="9" fillId="0" borderId="3" xfId="1" applyFont="1" applyBorder="1" applyAlignment="1">
      <alignment horizontal="right" vertical="center"/>
    </xf>
    <xf numFmtId="0" fontId="9" fillId="0" borderId="4" xfId="1" applyFont="1" applyBorder="1" applyAlignment="1">
      <alignment horizontal="right" vertical="center"/>
    </xf>
    <xf numFmtId="0" fontId="9" fillId="0" borderId="5" xfId="2" applyFont="1" applyBorder="1" applyAlignment="1">
      <alignment vertical="center" wrapText="1"/>
    </xf>
    <xf numFmtId="0" fontId="9" fillId="0" borderId="3" xfId="1" applyFont="1" applyBorder="1" applyAlignment="1" applyProtection="1">
      <alignment horizontal="right" vertical="center"/>
      <protection locked="0"/>
    </xf>
    <xf numFmtId="0" fontId="15" fillId="0" borderId="1" xfId="1" applyFont="1" applyBorder="1" applyAlignment="1">
      <alignment horizontal="right" vertical="center"/>
    </xf>
    <xf numFmtId="0" fontId="15" fillId="0" borderId="10" xfId="1" applyFont="1" applyBorder="1" applyAlignment="1">
      <alignment vertical="center"/>
    </xf>
    <xf numFmtId="0" fontId="15" fillId="0" borderId="7" xfId="1" applyFont="1" applyBorder="1" applyAlignment="1">
      <alignment vertical="center"/>
    </xf>
    <xf numFmtId="0" fontId="15" fillId="0" borderId="11" xfId="1" applyFont="1" applyBorder="1" applyAlignment="1">
      <alignment vertical="center"/>
    </xf>
    <xf numFmtId="0" fontId="9" fillId="0" borderId="2" xfId="2" applyFont="1" applyBorder="1"/>
    <xf numFmtId="0" fontId="9" fillId="0" borderId="0" xfId="2" applyFont="1"/>
    <xf numFmtId="0" fontId="15" fillId="0" borderId="0" xfId="1" applyFont="1" applyAlignment="1">
      <alignment horizontal="center" vertical="center"/>
    </xf>
    <xf numFmtId="0" fontId="15" fillId="0" borderId="9" xfId="1" applyFont="1" applyBorder="1" applyAlignment="1">
      <alignment horizontal="center" vertical="center"/>
    </xf>
    <xf numFmtId="0" fontId="9" fillId="0" borderId="9" xfId="2" applyFont="1" applyBorder="1"/>
    <xf numFmtId="0" fontId="9" fillId="0" borderId="12" xfId="2" applyFont="1" applyBorder="1"/>
    <xf numFmtId="0" fontId="9" fillId="0" borderId="8" xfId="2" applyFont="1" applyBorder="1"/>
    <xf numFmtId="0" fontId="15" fillId="0" borderId="8" xfId="1" applyFont="1" applyBorder="1" applyAlignment="1">
      <alignment horizontal="center" vertical="center"/>
    </xf>
    <xf numFmtId="0" fontId="15" fillId="0" borderId="13" xfId="1" applyFont="1" applyBorder="1" applyAlignment="1">
      <alignment horizontal="center" vertical="center"/>
    </xf>
    <xf numFmtId="0" fontId="15" fillId="0" borderId="2" xfId="1" applyFont="1" applyBorder="1" applyAlignment="1">
      <alignment horizontal="center" vertical="center"/>
    </xf>
    <xf numFmtId="10" fontId="9" fillId="0" borderId="0" xfId="2" applyNumberFormat="1" applyFont="1" applyAlignment="1">
      <alignment horizontal="center" vertical="center" wrapText="1"/>
    </xf>
    <xf numFmtId="164" fontId="15" fillId="4" borderId="15" xfId="1" applyNumberFormat="1" applyFont="1" applyFill="1" applyBorder="1" applyAlignment="1">
      <alignment horizontal="center" vertical="center"/>
    </xf>
    <xf numFmtId="164" fontId="15" fillId="4" borderId="1" xfId="1" applyNumberFormat="1" applyFont="1" applyFill="1" applyBorder="1" applyAlignment="1">
      <alignment horizontal="center" vertical="center"/>
    </xf>
    <xf numFmtId="164" fontId="24" fillId="4" borderId="14" xfId="1" applyNumberFormat="1" applyFont="1" applyFill="1" applyBorder="1" applyAlignment="1">
      <alignment horizontal="center" vertical="center"/>
    </xf>
    <xf numFmtId="10" fontId="9" fillId="0" borderId="0" xfId="2" applyNumberFormat="1" applyFont="1" applyAlignment="1">
      <alignment vertical="center" wrapText="1"/>
    </xf>
    <xf numFmtId="0" fontId="15" fillId="4" borderId="14" xfId="1" applyFont="1" applyFill="1" applyBorder="1" applyAlignment="1">
      <alignment horizontal="center" vertical="center" wrapText="1"/>
    </xf>
    <xf numFmtId="2" fontId="23" fillId="7" borderId="1" xfId="0" applyNumberFormat="1" applyFont="1" applyFill="1" applyBorder="1" applyAlignment="1" applyProtection="1">
      <alignment horizontal="center"/>
      <protection locked="0"/>
    </xf>
    <xf numFmtId="2" fontId="9" fillId="7" borderId="0" xfId="2" applyNumberFormat="1" applyFont="1" applyFill="1" applyAlignment="1">
      <alignment horizontal="center" vertical="center" wrapText="1"/>
    </xf>
    <xf numFmtId="2" fontId="15" fillId="2" borderId="1" xfId="1" applyNumberFormat="1" applyFont="1" applyFill="1" applyBorder="1" applyAlignment="1">
      <alignment horizontal="center" vertical="center"/>
    </xf>
    <xf numFmtId="2" fontId="21" fillId="2" borderId="1" xfId="0" applyNumberFormat="1" applyFont="1" applyFill="1" applyBorder="1" applyAlignment="1">
      <alignment horizontal="center" vertical="center"/>
    </xf>
    <xf numFmtId="10" fontId="9" fillId="0" borderId="8" xfId="2" applyNumberFormat="1" applyFont="1" applyBorder="1" applyAlignment="1">
      <alignment horizontal="center" vertical="center" wrapText="1"/>
    </xf>
    <xf numFmtId="2" fontId="21" fillId="0" borderId="1" xfId="0" applyNumberFormat="1" applyFont="1" applyBorder="1" applyAlignment="1">
      <alignment horizontal="center" vertical="center"/>
    </xf>
    <xf numFmtId="0" fontId="15" fillId="0" borderId="0" xfId="2" applyFont="1"/>
    <xf numFmtId="2" fontId="25" fillId="0" borderId="1" xfId="0" applyNumberFormat="1" applyFont="1" applyBorder="1" applyAlignment="1">
      <alignment horizontal="center" vertical="center"/>
    </xf>
    <xf numFmtId="0" fontId="25" fillId="0" borderId="0" xfId="2" applyFont="1"/>
    <xf numFmtId="2" fontId="15" fillId="2" borderId="1" xfId="0" applyNumberFormat="1" applyFont="1" applyFill="1" applyBorder="1" applyAlignment="1">
      <alignment horizontal="center" vertical="center"/>
    </xf>
    <xf numFmtId="2" fontId="15" fillId="6" borderId="1" xfId="0" applyNumberFormat="1" applyFont="1" applyFill="1" applyBorder="1" applyAlignment="1">
      <alignment horizontal="center" vertical="center"/>
    </xf>
    <xf numFmtId="2" fontId="15" fillId="5" borderId="1" xfId="0" applyNumberFormat="1" applyFont="1" applyFill="1" applyBorder="1" applyAlignment="1">
      <alignment horizontal="center" vertical="center"/>
    </xf>
    <xf numFmtId="2" fontId="15" fillId="0" borderId="1" xfId="0" applyNumberFormat="1" applyFont="1" applyBorder="1" applyAlignment="1">
      <alignment horizontal="center" vertical="center"/>
    </xf>
    <xf numFmtId="0" fontId="9" fillId="0" borderId="2" xfId="2" applyFont="1" applyBorder="1" applyAlignment="1">
      <alignment horizontal="center"/>
    </xf>
    <xf numFmtId="0" fontId="9" fillId="0" borderId="0" xfId="2" applyFont="1" applyAlignment="1">
      <alignment horizontal="center"/>
    </xf>
    <xf numFmtId="0" fontId="9" fillId="0" borderId="9" xfId="2" applyFont="1" applyBorder="1" applyAlignment="1">
      <alignment horizontal="center"/>
    </xf>
    <xf numFmtId="9" fontId="15" fillId="0" borderId="1" xfId="4" applyFont="1" applyBorder="1" applyAlignment="1" applyProtection="1">
      <alignment horizontal="center" vertical="center"/>
    </xf>
    <xf numFmtId="10" fontId="15" fillId="0" borderId="1" xfId="4" applyNumberFormat="1" applyFont="1" applyBorder="1" applyAlignment="1" applyProtection="1">
      <alignment horizontal="center" vertical="center"/>
    </xf>
    <xf numFmtId="0" fontId="27" fillId="0" borderId="2" xfId="2" applyFont="1" applyBorder="1" applyAlignment="1">
      <alignment horizontal="left"/>
    </xf>
    <xf numFmtId="0" fontId="17" fillId="2" borderId="1" xfId="0" applyFont="1" applyFill="1" applyBorder="1" applyAlignment="1">
      <alignment horizontal="center" vertical="center" wrapText="1"/>
    </xf>
    <xf numFmtId="166" fontId="19" fillId="0" borderId="9" xfId="0" applyNumberFormat="1" applyFont="1" applyBorder="1" applyAlignment="1">
      <alignment vertical="center"/>
    </xf>
    <xf numFmtId="165" fontId="19" fillId="0" borderId="1" xfId="0" applyNumberFormat="1" applyFont="1" applyBorder="1" applyAlignment="1">
      <alignment horizontal="center" vertical="center"/>
    </xf>
    <xf numFmtId="0" fontId="9" fillId="0" borderId="13" xfId="2" applyFont="1" applyBorder="1"/>
    <xf numFmtId="0" fontId="21" fillId="4" borderId="1" xfId="0" applyFont="1" applyFill="1" applyBorder="1" applyAlignment="1">
      <alignment horizontal="center" vertical="center" wrapText="1"/>
    </xf>
    <xf numFmtId="4" fontId="22" fillId="0" borderId="1" xfId="0" applyNumberFormat="1" applyFont="1" applyBorder="1" applyAlignment="1">
      <alignment horizontal="center" vertical="center" wrapText="1"/>
    </xf>
    <xf numFmtId="9" fontId="22" fillId="0" borderId="1" xfId="4" applyFont="1" applyBorder="1" applyAlignment="1" applyProtection="1">
      <alignment horizontal="center" vertical="center" wrapText="1"/>
    </xf>
    <xf numFmtId="0" fontId="9" fillId="0" borderId="1" xfId="1" applyFont="1" applyBorder="1" applyAlignment="1" applyProtection="1">
      <alignment horizontal="center" vertical="center"/>
      <protection locked="0"/>
    </xf>
    <xf numFmtId="0" fontId="27" fillId="0" borderId="0" xfId="2" applyFont="1" applyAlignment="1">
      <alignment horizontal="left"/>
    </xf>
    <xf numFmtId="2" fontId="23" fillId="0" borderId="0" xfId="2" applyNumberFormat="1" applyFont="1" applyAlignment="1">
      <alignment horizontal="center"/>
    </xf>
    <xf numFmtId="0" fontId="9" fillId="0" borderId="0" xfId="2" applyFont="1" applyAlignment="1" applyProtection="1">
      <alignment horizontal="center"/>
      <protection locked="0"/>
    </xf>
    <xf numFmtId="4" fontId="22" fillId="0" borderId="0" xfId="0" applyNumberFormat="1" applyFont="1" applyAlignment="1">
      <alignment horizontal="center" vertical="center" wrapText="1"/>
    </xf>
    <xf numFmtId="9" fontId="22" fillId="0" borderId="0" xfId="4" applyFont="1" applyBorder="1" applyAlignment="1" applyProtection="1">
      <alignment horizontal="center" vertical="center" wrapText="1"/>
    </xf>
    <xf numFmtId="0" fontId="9" fillId="0" borderId="0" xfId="1" applyFont="1" applyAlignment="1" applyProtection="1">
      <alignment horizontal="center" vertical="center"/>
      <protection locked="0"/>
    </xf>
    <xf numFmtId="0" fontId="15" fillId="0" borderId="3" xfId="1" applyFont="1" applyBorder="1" applyAlignment="1">
      <alignment horizontal="right" vertical="center"/>
    </xf>
    <xf numFmtId="0" fontId="15" fillId="0" borderId="1" xfId="2" applyFont="1" applyBorder="1" applyAlignment="1">
      <alignment horizontal="right" vertical="center"/>
    </xf>
    <xf numFmtId="0" fontId="15" fillId="0" borderId="2" xfId="2" applyFont="1" applyBorder="1" applyAlignment="1">
      <alignment horizontal="right" vertical="center"/>
    </xf>
    <xf numFmtId="0" fontId="15" fillId="4" borderId="1" xfId="0" applyFont="1" applyFill="1" applyBorder="1" applyAlignment="1">
      <alignment horizontal="center" vertical="center" wrapText="1"/>
    </xf>
    <xf numFmtId="0" fontId="15" fillId="4" borderId="1" xfId="2" applyFont="1" applyFill="1" applyBorder="1" applyAlignment="1">
      <alignment horizontal="right" vertical="center"/>
    </xf>
    <xf numFmtId="14" fontId="9" fillId="0" borderId="0" xfId="2" applyNumberFormat="1" applyFont="1" applyAlignment="1">
      <alignment horizontal="center" vertical="center"/>
    </xf>
    <xf numFmtId="14" fontId="9" fillId="0" borderId="1" xfId="0" applyNumberFormat="1" applyFont="1" applyBorder="1" applyAlignment="1" applyProtection="1">
      <alignment horizontal="center" vertical="center" wrapText="1"/>
      <protection locked="0"/>
    </xf>
    <xf numFmtId="2" fontId="9" fillId="0" borderId="1" xfId="0" applyNumberFormat="1" applyFont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 applyProtection="1">
      <alignment horizontal="center" vertical="center" wrapText="1"/>
      <protection locked="0"/>
    </xf>
    <xf numFmtId="0" fontId="30" fillId="0" borderId="1" xfId="0" applyFont="1" applyBorder="1" applyAlignment="1" applyProtection="1">
      <alignment vertical="center" wrapText="1"/>
      <protection locked="0"/>
    </xf>
    <xf numFmtId="0" fontId="30" fillId="0" borderId="0" xfId="0" applyFont="1" applyAlignment="1">
      <alignment vertical="center" wrapText="1"/>
    </xf>
    <xf numFmtId="0" fontId="30" fillId="0" borderId="9" xfId="0" applyFont="1" applyBorder="1" applyAlignment="1">
      <alignment vertical="center" wrapText="1"/>
    </xf>
    <xf numFmtId="0" fontId="30" fillId="0" borderId="3" xfId="0" applyFont="1" applyBorder="1" applyAlignment="1" applyProtection="1">
      <alignment horizontal="center" vertical="center" wrapText="1"/>
      <protection locked="0"/>
    </xf>
    <xf numFmtId="0" fontId="30" fillId="0" borderId="5" xfId="0" applyFont="1" applyBorder="1" applyAlignment="1" applyProtection="1">
      <alignment horizontal="center" vertical="center" wrapText="1"/>
      <protection locked="0"/>
    </xf>
    <xf numFmtId="0" fontId="9" fillId="0" borderId="10" xfId="2" applyFont="1" applyBorder="1" applyProtection="1">
      <protection locked="0"/>
    </xf>
    <xf numFmtId="0" fontId="9" fillId="0" borderId="7" xfId="2" applyFont="1" applyBorder="1" applyProtection="1">
      <protection locked="0"/>
    </xf>
    <xf numFmtId="0" fontId="9" fillId="0" borderId="11" xfId="2" applyFont="1" applyBorder="1" applyProtection="1">
      <protection locked="0"/>
    </xf>
    <xf numFmtId="0" fontId="15" fillId="0" borderId="2" xfId="2" applyFont="1" applyBorder="1" applyProtection="1">
      <protection locked="0"/>
    </xf>
    <xf numFmtId="0" fontId="9" fillId="0" borderId="0" xfId="2" applyFont="1" applyProtection="1">
      <protection locked="0"/>
    </xf>
    <xf numFmtId="0" fontId="9" fillId="0" borderId="9" xfId="2" applyFont="1" applyBorder="1" applyProtection="1">
      <protection locked="0"/>
    </xf>
    <xf numFmtId="0" fontId="9" fillId="0" borderId="2" xfId="2" applyFont="1" applyBorder="1" applyProtection="1">
      <protection locked="0"/>
    </xf>
    <xf numFmtId="0" fontId="9" fillId="0" borderId="12" xfId="2" applyFont="1" applyBorder="1" applyProtection="1">
      <protection locked="0"/>
    </xf>
    <xf numFmtId="0" fontId="9" fillId="0" borderId="8" xfId="2" applyFont="1" applyBorder="1" applyProtection="1">
      <protection locked="0"/>
    </xf>
    <xf numFmtId="0" fontId="9" fillId="0" borderId="13" xfId="2" applyFont="1" applyBorder="1" applyProtection="1">
      <protection locked="0"/>
    </xf>
    <xf numFmtId="0" fontId="15" fillId="4" borderId="15" xfId="1" applyFont="1" applyFill="1" applyBorder="1" applyAlignment="1">
      <alignment horizontal="center" vertical="center" wrapText="1"/>
    </xf>
    <xf numFmtId="2" fontId="22" fillId="0" borderId="1" xfId="0" applyNumberFormat="1" applyFont="1" applyBorder="1" applyAlignment="1" applyProtection="1">
      <alignment horizontal="center" vertical="center"/>
      <protection locked="0"/>
    </xf>
    <xf numFmtId="0" fontId="22" fillId="0" borderId="1" xfId="0" applyFont="1" applyBorder="1" applyAlignment="1">
      <alignment horizontal="center"/>
    </xf>
    <xf numFmtId="164" fontId="22" fillId="0" borderId="1" xfId="0" applyNumberFormat="1" applyFont="1" applyBorder="1" applyAlignment="1">
      <alignment horizontal="center"/>
    </xf>
    <xf numFmtId="0" fontId="9" fillId="0" borderId="3" xfId="2" applyFont="1" applyBorder="1"/>
    <xf numFmtId="2" fontId="15" fillId="0" borderId="4" xfId="0" applyNumberFormat="1" applyFont="1" applyBorder="1" applyAlignment="1">
      <alignment horizontal="center" vertical="center" wrapText="1"/>
    </xf>
    <xf numFmtId="2" fontId="15" fillId="0" borderId="5" xfId="0" applyNumberFormat="1" applyFont="1" applyBorder="1" applyAlignment="1">
      <alignment vertical="center" wrapText="1"/>
    </xf>
    <xf numFmtId="0" fontId="15" fillId="0" borderId="1" xfId="2" applyFont="1" applyBorder="1" applyAlignment="1">
      <alignment horizontal="center"/>
    </xf>
    <xf numFmtId="2" fontId="15" fillId="0" borderId="1" xfId="2" applyNumberFormat="1" applyFont="1" applyBorder="1" applyAlignment="1">
      <alignment horizontal="center"/>
    </xf>
    <xf numFmtId="0" fontId="22" fillId="0" borderId="0" xfId="0" applyFont="1" applyAlignment="1">
      <alignment vertical="center"/>
    </xf>
    <xf numFmtId="0" fontId="15" fillId="0" borderId="0" xfId="2" applyFont="1" applyAlignment="1">
      <alignment horizontal="center"/>
    </xf>
    <xf numFmtId="168" fontId="24" fillId="0" borderId="15" xfId="4" applyNumberFormat="1" applyFont="1" applyFill="1" applyBorder="1" applyAlignment="1" applyProtection="1">
      <alignment horizontal="center" vertical="center"/>
    </xf>
    <xf numFmtId="0" fontId="9" fillId="0" borderId="12" xfId="2" applyFont="1" applyBorder="1" applyAlignment="1">
      <alignment horizontal="center"/>
    </xf>
    <xf numFmtId="0" fontId="9" fillId="0" borderId="8" xfId="2" applyFont="1" applyBorder="1" applyAlignment="1">
      <alignment horizontal="center"/>
    </xf>
    <xf numFmtId="0" fontId="9" fillId="0" borderId="13" xfId="2" applyFont="1" applyBorder="1" applyAlignment="1">
      <alignment horizontal="center"/>
    </xf>
    <xf numFmtId="0" fontId="9" fillId="0" borderId="10" xfId="2" applyFont="1" applyBorder="1" applyAlignment="1">
      <alignment horizontal="center"/>
    </xf>
    <xf numFmtId="0" fontId="9" fillId="0" borderId="11" xfId="2" applyFont="1" applyBorder="1" applyAlignment="1">
      <alignment horizontal="center"/>
    </xf>
    <xf numFmtId="0" fontId="9" fillId="0" borderId="2" xfId="2" applyFont="1" applyBorder="1" applyAlignment="1">
      <alignment horizontal="center"/>
    </xf>
    <xf numFmtId="0" fontId="9" fillId="0" borderId="9" xfId="2" applyFont="1" applyBorder="1" applyAlignment="1">
      <alignment horizontal="center"/>
    </xf>
    <xf numFmtId="0" fontId="9" fillId="0" borderId="12" xfId="2" applyFont="1" applyBorder="1" applyAlignment="1">
      <alignment horizontal="center"/>
    </xf>
    <xf numFmtId="0" fontId="9" fillId="0" borderId="13" xfId="2" applyFont="1" applyBorder="1" applyAlignment="1">
      <alignment horizontal="center"/>
    </xf>
    <xf numFmtId="0" fontId="10" fillId="0" borderId="10" xfId="2" applyFont="1" applyBorder="1" applyAlignment="1">
      <alignment horizontal="center" vertical="center" wrapText="1"/>
    </xf>
    <xf numFmtId="0" fontId="10" fillId="0" borderId="7" xfId="2" applyFont="1" applyBorder="1" applyAlignment="1">
      <alignment horizontal="center" vertical="center" wrapText="1"/>
    </xf>
    <xf numFmtId="0" fontId="10" fillId="0" borderId="11" xfId="2" applyFont="1" applyBorder="1" applyAlignment="1">
      <alignment horizontal="center" vertical="center" wrapText="1"/>
    </xf>
    <xf numFmtId="0" fontId="10" fillId="0" borderId="2" xfId="2" applyFont="1" applyBorder="1" applyAlignment="1">
      <alignment horizontal="center" vertical="center" wrapText="1"/>
    </xf>
    <xf numFmtId="0" fontId="10" fillId="0" borderId="0" xfId="2" applyFont="1" applyAlignment="1">
      <alignment horizontal="center" vertical="center" wrapText="1"/>
    </xf>
    <xf numFmtId="0" fontId="10" fillId="0" borderId="9" xfId="2" applyFont="1" applyBorder="1" applyAlignment="1">
      <alignment horizontal="center" vertical="center" wrapText="1"/>
    </xf>
    <xf numFmtId="0" fontId="10" fillId="0" borderId="12" xfId="2" applyFont="1" applyBorder="1" applyAlignment="1">
      <alignment horizontal="center" vertical="center" wrapText="1"/>
    </xf>
    <xf numFmtId="0" fontId="10" fillId="0" borderId="8" xfId="2" applyFont="1" applyBorder="1" applyAlignment="1">
      <alignment horizontal="center" vertical="center" wrapText="1"/>
    </xf>
    <xf numFmtId="0" fontId="10" fillId="0" borderId="13" xfId="2" applyFont="1" applyBorder="1" applyAlignment="1">
      <alignment horizontal="center" vertical="center" wrapText="1"/>
    </xf>
    <xf numFmtId="0" fontId="12" fillId="3" borderId="10" xfId="2" applyFont="1" applyFill="1" applyBorder="1" applyAlignment="1" applyProtection="1">
      <alignment horizontal="left" vertical="center"/>
      <protection locked="0"/>
    </xf>
    <xf numFmtId="0" fontId="12" fillId="3" borderId="11" xfId="2" applyFont="1" applyFill="1" applyBorder="1" applyAlignment="1" applyProtection="1">
      <alignment horizontal="left" vertical="center"/>
      <protection locked="0"/>
    </xf>
    <xf numFmtId="0" fontId="13" fillId="3" borderId="2" xfId="2" applyFont="1" applyFill="1" applyBorder="1" applyAlignment="1">
      <alignment horizontal="left" vertical="center"/>
    </xf>
    <xf numFmtId="0" fontId="13" fillId="3" borderId="9" xfId="2" applyFont="1" applyFill="1" applyBorder="1" applyAlignment="1">
      <alignment horizontal="left" vertical="center"/>
    </xf>
    <xf numFmtId="0" fontId="12" fillId="3" borderId="2" xfId="2" applyFont="1" applyFill="1" applyBorder="1" applyAlignment="1" applyProtection="1">
      <alignment horizontal="left" vertical="center"/>
      <protection locked="0"/>
    </xf>
    <xf numFmtId="0" fontId="12" fillId="3" borderId="9" xfId="2" applyFont="1" applyFill="1" applyBorder="1" applyAlignment="1" applyProtection="1">
      <alignment horizontal="left" vertical="center"/>
      <protection locked="0"/>
    </xf>
    <xf numFmtId="0" fontId="13" fillId="3" borderId="12" xfId="2" applyFont="1" applyFill="1" applyBorder="1" applyAlignment="1">
      <alignment horizontal="left" vertical="center"/>
    </xf>
    <xf numFmtId="0" fontId="13" fillId="3" borderId="13" xfId="2" applyFont="1" applyFill="1" applyBorder="1" applyAlignment="1">
      <alignment horizontal="left" vertical="center"/>
    </xf>
    <xf numFmtId="0" fontId="16" fillId="0" borderId="3" xfId="2" applyFont="1" applyBorder="1" applyAlignment="1" applyProtection="1">
      <alignment horizontal="center" vertical="center" wrapText="1"/>
      <protection locked="0"/>
    </xf>
    <xf numFmtId="0" fontId="16" fillId="0" borderId="4" xfId="2" applyFont="1" applyBorder="1" applyAlignment="1" applyProtection="1">
      <alignment horizontal="center" vertical="center" wrapText="1"/>
      <protection locked="0"/>
    </xf>
    <xf numFmtId="0" fontId="16" fillId="0" borderId="5" xfId="2" applyFont="1" applyBorder="1" applyAlignment="1" applyProtection="1">
      <alignment horizontal="center" vertical="center" wrapText="1"/>
      <protection locked="0"/>
    </xf>
    <xf numFmtId="0" fontId="9" fillId="0" borderId="6" xfId="2" applyFont="1" applyBorder="1" applyAlignment="1" applyProtection="1">
      <alignment horizontal="center" vertical="center" wrapText="1"/>
      <protection locked="0"/>
    </xf>
    <xf numFmtId="0" fontId="15" fillId="0" borderId="1" xfId="2" applyFont="1" applyBorder="1" applyAlignment="1">
      <alignment horizontal="right" vertical="center"/>
    </xf>
    <xf numFmtId="0" fontId="9" fillId="0" borderId="1" xfId="2" applyFont="1" applyBorder="1" applyAlignment="1">
      <alignment horizontal="center" vertical="center" wrapText="1"/>
    </xf>
    <xf numFmtId="0" fontId="15" fillId="0" borderId="3" xfId="2" applyFont="1" applyBorder="1" applyAlignment="1" applyProtection="1">
      <alignment horizontal="center" vertical="center" wrapText="1"/>
      <protection locked="0"/>
    </xf>
    <xf numFmtId="0" fontId="15" fillId="0" borderId="4" xfId="2" applyFont="1" applyBorder="1" applyAlignment="1" applyProtection="1">
      <alignment horizontal="center" vertical="center" wrapText="1"/>
      <protection locked="0"/>
    </xf>
    <xf numFmtId="0" fontId="15" fillId="0" borderId="5" xfId="2" applyFont="1" applyBorder="1" applyAlignment="1" applyProtection="1">
      <alignment horizontal="center" vertical="center" wrapText="1"/>
      <protection locked="0"/>
    </xf>
    <xf numFmtId="0" fontId="15" fillId="0" borderId="5" xfId="2" applyFont="1" applyBorder="1" applyAlignment="1">
      <alignment horizontal="right" vertical="center" wrapText="1"/>
    </xf>
    <xf numFmtId="0" fontId="15" fillId="0" borderId="1" xfId="2" applyFont="1" applyBorder="1" applyAlignment="1">
      <alignment horizontal="right" vertical="center" wrapText="1"/>
    </xf>
    <xf numFmtId="0" fontId="9" fillId="0" borderId="7" xfId="2" applyFont="1" applyBorder="1" applyAlignment="1">
      <alignment horizontal="center"/>
    </xf>
    <xf numFmtId="0" fontId="14" fillId="2" borderId="3" xfId="1" applyFont="1" applyFill="1" applyBorder="1" applyAlignment="1">
      <alignment horizontal="center" vertical="center"/>
    </xf>
    <xf numFmtId="0" fontId="14" fillId="2" borderId="4" xfId="1" applyFont="1" applyFill="1" applyBorder="1" applyAlignment="1">
      <alignment horizontal="center" vertical="center"/>
    </xf>
    <xf numFmtId="0" fontId="14" fillId="2" borderId="5" xfId="1" applyFont="1" applyFill="1" applyBorder="1" applyAlignment="1">
      <alignment horizontal="center" vertical="center"/>
    </xf>
    <xf numFmtId="0" fontId="15" fillId="0" borderId="1" xfId="1" applyFont="1" applyBorder="1" applyAlignment="1">
      <alignment horizontal="right" vertical="center"/>
    </xf>
    <xf numFmtId="0" fontId="9" fillId="0" borderId="1" xfId="2" applyFont="1" applyBorder="1" applyAlignment="1" applyProtection="1">
      <alignment horizontal="center" vertical="center" wrapText="1"/>
      <protection locked="0"/>
    </xf>
    <xf numFmtId="0" fontId="15" fillId="0" borderId="12" xfId="1" applyFont="1" applyBorder="1" applyAlignment="1">
      <alignment horizontal="center" vertical="center"/>
    </xf>
    <xf numFmtId="0" fontId="15" fillId="0" borderId="8" xfId="1" applyFont="1" applyBorder="1" applyAlignment="1">
      <alignment horizontal="center" vertical="center"/>
    </xf>
    <xf numFmtId="0" fontId="15" fillId="0" borderId="13" xfId="1" applyFont="1" applyBorder="1" applyAlignment="1">
      <alignment horizontal="center" vertical="center"/>
    </xf>
    <xf numFmtId="0" fontId="18" fillId="4" borderId="3" xfId="1" applyFont="1" applyFill="1" applyBorder="1" applyAlignment="1">
      <alignment horizontal="center" vertical="center"/>
    </xf>
    <xf numFmtId="0" fontId="18" fillId="4" borderId="4" xfId="1" applyFont="1" applyFill="1" applyBorder="1" applyAlignment="1">
      <alignment horizontal="center" vertical="center"/>
    </xf>
    <xf numFmtId="0" fontId="18" fillId="4" borderId="5" xfId="1" applyFont="1" applyFill="1" applyBorder="1" applyAlignment="1">
      <alignment horizontal="center" vertical="center"/>
    </xf>
    <xf numFmtId="0" fontId="9" fillId="0" borderId="3" xfId="2" applyFont="1" applyBorder="1" applyAlignment="1" applyProtection="1">
      <alignment horizontal="center" vertical="center" wrapText="1"/>
      <protection locked="0"/>
    </xf>
    <xf numFmtId="0" fontId="9" fillId="0" borderId="5" xfId="2" applyFont="1" applyBorder="1" applyAlignment="1" applyProtection="1">
      <alignment horizontal="center" vertical="center" wrapText="1"/>
      <protection locked="0"/>
    </xf>
    <xf numFmtId="0" fontId="15" fillId="0" borderId="3" xfId="1" applyFont="1" applyBorder="1" applyAlignment="1">
      <alignment horizontal="right" vertical="center"/>
    </xf>
    <xf numFmtId="0" fontId="15" fillId="0" borderId="5" xfId="1" applyFont="1" applyBorder="1" applyAlignment="1">
      <alignment horizontal="right" vertical="center"/>
    </xf>
    <xf numFmtId="0" fontId="9" fillId="0" borderId="3" xfId="2" applyFont="1" applyBorder="1" applyAlignment="1">
      <alignment horizontal="center" vertical="center" wrapText="1"/>
    </xf>
    <xf numFmtId="0" fontId="9" fillId="0" borderId="4" xfId="2" applyFont="1" applyBorder="1" applyAlignment="1">
      <alignment horizontal="center" vertical="center" wrapText="1"/>
    </xf>
    <xf numFmtId="0" fontId="9" fillId="0" borderId="5" xfId="2" applyFont="1" applyBorder="1" applyAlignment="1">
      <alignment horizontal="center" vertical="center" wrapText="1"/>
    </xf>
    <xf numFmtId="10" fontId="9" fillId="0" borderId="3" xfId="2" applyNumberFormat="1" applyFont="1" applyBorder="1" applyAlignment="1" applyProtection="1">
      <alignment horizontal="center" vertical="center" wrapText="1"/>
      <protection locked="0"/>
    </xf>
    <xf numFmtId="10" fontId="9" fillId="0" borderId="4" xfId="2" applyNumberFormat="1" applyFont="1" applyBorder="1" applyAlignment="1" applyProtection="1">
      <alignment horizontal="center" vertical="center" wrapText="1"/>
      <protection locked="0"/>
    </xf>
    <xf numFmtId="10" fontId="9" fillId="0" borderId="5" xfId="2" applyNumberFormat="1" applyFont="1" applyBorder="1" applyAlignment="1" applyProtection="1">
      <alignment horizontal="center" vertical="center" wrapText="1"/>
      <protection locked="0"/>
    </xf>
    <xf numFmtId="0" fontId="9" fillId="0" borderId="4" xfId="2" applyFont="1" applyBorder="1" applyAlignment="1" applyProtection="1">
      <alignment horizontal="center" vertical="center" wrapText="1"/>
      <protection locked="0"/>
    </xf>
    <xf numFmtId="14" fontId="19" fillId="0" borderId="2" xfId="3" applyNumberFormat="1" applyFont="1" applyBorder="1" applyAlignment="1">
      <alignment horizontal="center" vertical="center"/>
    </xf>
    <xf numFmtId="14" fontId="19" fillId="0" borderId="0" xfId="3" applyNumberFormat="1" applyFont="1" applyAlignment="1">
      <alignment horizontal="center" vertical="center"/>
    </xf>
    <xf numFmtId="14" fontId="19" fillId="0" borderId="9" xfId="3" applyNumberFormat="1" applyFont="1" applyBorder="1" applyAlignment="1">
      <alignment horizontal="center" vertical="center"/>
    </xf>
    <xf numFmtId="167" fontId="22" fillId="0" borderId="1" xfId="0" applyNumberFormat="1" applyFont="1" applyBorder="1" applyAlignment="1">
      <alignment horizontal="center" vertical="center" wrapText="1"/>
    </xf>
    <xf numFmtId="0" fontId="20" fillId="2" borderId="3" xfId="1" applyFont="1" applyFill="1" applyBorder="1" applyAlignment="1">
      <alignment horizontal="center" vertical="center"/>
    </xf>
    <xf numFmtId="0" fontId="20" fillId="2" borderId="4" xfId="1" applyFont="1" applyFill="1" applyBorder="1" applyAlignment="1">
      <alignment horizontal="center" vertical="center"/>
    </xf>
    <xf numFmtId="0" fontId="20" fillId="2" borderId="5" xfId="1" applyFont="1" applyFill="1" applyBorder="1" applyAlignment="1">
      <alignment horizontal="center" vertical="center"/>
    </xf>
    <xf numFmtId="0" fontId="9" fillId="0" borderId="0" xfId="2" applyFont="1" applyAlignment="1">
      <alignment horizontal="center"/>
    </xf>
    <xf numFmtId="0" fontId="24" fillId="4" borderId="1" xfId="1" applyFont="1" applyFill="1" applyBorder="1" applyAlignment="1">
      <alignment horizontal="center" vertical="center"/>
    </xf>
    <xf numFmtId="0" fontId="15" fillId="4" borderId="1" xfId="2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 wrapText="1"/>
    </xf>
    <xf numFmtId="4" fontId="22" fillId="0" borderId="1" xfId="0" applyNumberFormat="1" applyFont="1" applyBorder="1" applyAlignment="1">
      <alignment horizontal="center" wrapText="1"/>
    </xf>
    <xf numFmtId="4" fontId="22" fillId="0" borderId="1" xfId="0" applyNumberFormat="1" applyFont="1" applyBorder="1" applyAlignment="1" applyProtection="1">
      <alignment horizontal="center" vertical="center" wrapText="1"/>
      <protection locked="0"/>
    </xf>
    <xf numFmtId="0" fontId="15" fillId="4" borderId="1" xfId="1" applyFont="1" applyFill="1" applyBorder="1" applyAlignment="1">
      <alignment horizontal="center" vertical="center" wrapText="1"/>
    </xf>
    <xf numFmtId="0" fontId="15" fillId="4" borderId="15" xfId="1" applyFont="1" applyFill="1" applyBorder="1" applyAlignment="1">
      <alignment horizontal="center" vertical="center" wrapText="1"/>
    </xf>
    <xf numFmtId="0" fontId="15" fillId="4" borderId="15" xfId="1" applyFont="1" applyFill="1" applyBorder="1" applyAlignment="1">
      <alignment horizontal="center" vertical="center"/>
    </xf>
    <xf numFmtId="0" fontId="15" fillId="4" borderId="12" xfId="1" applyFont="1" applyFill="1" applyBorder="1" applyAlignment="1">
      <alignment horizontal="center" vertical="center"/>
    </xf>
    <xf numFmtId="0" fontId="15" fillId="4" borderId="1" xfId="1" applyFont="1" applyFill="1" applyBorder="1" applyAlignment="1">
      <alignment horizontal="center" vertical="center"/>
    </xf>
    <xf numFmtId="0" fontId="15" fillId="4" borderId="3" xfId="1" applyFont="1" applyFill="1" applyBorder="1" applyAlignment="1">
      <alignment horizontal="center" vertical="center"/>
    </xf>
    <xf numFmtId="0" fontId="15" fillId="4" borderId="6" xfId="1" applyFont="1" applyFill="1" applyBorder="1" applyAlignment="1">
      <alignment horizontal="center" vertical="center"/>
    </xf>
    <xf numFmtId="0" fontId="15" fillId="4" borderId="10" xfId="1" applyFont="1" applyFill="1" applyBorder="1" applyAlignment="1">
      <alignment horizontal="center" vertical="center"/>
    </xf>
    <xf numFmtId="0" fontId="15" fillId="4" borderId="6" xfId="1" applyFont="1" applyFill="1" applyBorder="1" applyAlignment="1">
      <alignment horizontal="center" vertical="center" wrapText="1"/>
    </xf>
    <xf numFmtId="0" fontId="15" fillId="4" borderId="14" xfId="1" applyFont="1" applyFill="1" applyBorder="1" applyAlignment="1">
      <alignment horizontal="center" vertical="center" wrapText="1"/>
    </xf>
    <xf numFmtId="164" fontId="23" fillId="0" borderId="1" xfId="2" applyNumberFormat="1" applyFont="1" applyBorder="1" applyAlignment="1">
      <alignment horizontal="center"/>
    </xf>
    <xf numFmtId="0" fontId="15" fillId="2" borderId="1" xfId="1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right" vertical="center" wrapText="1"/>
    </xf>
    <xf numFmtId="0" fontId="17" fillId="2" borderId="3" xfId="0" applyFont="1" applyFill="1" applyBorder="1" applyAlignment="1">
      <alignment horizontal="right" vertical="center" wrapText="1"/>
    </xf>
    <xf numFmtId="0" fontId="17" fillId="2" borderId="5" xfId="0" applyFont="1" applyFill="1" applyBorder="1" applyAlignment="1">
      <alignment horizontal="right" vertical="center" wrapText="1"/>
    </xf>
    <xf numFmtId="0" fontId="15" fillId="0" borderId="1" xfId="2" applyFont="1" applyBorder="1" applyAlignment="1">
      <alignment horizontal="center" vertical="center"/>
    </xf>
    <xf numFmtId="0" fontId="15" fillId="0" borderId="3" xfId="2" applyFont="1" applyBorder="1" applyAlignment="1">
      <alignment horizontal="center" vertical="center"/>
    </xf>
    <xf numFmtId="0" fontId="27" fillId="0" borderId="2" xfId="2" applyFont="1" applyBorder="1" applyAlignment="1">
      <alignment horizontal="left"/>
    </xf>
    <xf numFmtId="0" fontId="27" fillId="0" borderId="0" xfId="2" applyFont="1" applyAlignment="1">
      <alignment horizontal="left"/>
    </xf>
    <xf numFmtId="0" fontId="27" fillId="0" borderId="9" xfId="2" applyFont="1" applyBorder="1" applyAlignment="1">
      <alignment horizontal="left"/>
    </xf>
    <xf numFmtId="0" fontId="9" fillId="0" borderId="8" xfId="2" applyFont="1" applyBorder="1" applyAlignment="1">
      <alignment horizontal="center"/>
    </xf>
    <xf numFmtId="2" fontId="23" fillId="0" borderId="1" xfId="2" applyNumberFormat="1" applyFont="1" applyBorder="1" applyAlignment="1">
      <alignment horizontal="center"/>
    </xf>
    <xf numFmtId="0" fontId="15" fillId="0" borderId="10" xfId="2" applyFont="1" applyBorder="1" applyAlignment="1">
      <alignment horizontal="center"/>
    </xf>
    <xf numFmtId="0" fontId="15" fillId="0" borderId="7" xfId="2" applyFont="1" applyBorder="1" applyAlignment="1">
      <alignment horizontal="center"/>
    </xf>
    <xf numFmtId="0" fontId="15" fillId="0" borderId="11" xfId="2" applyFont="1" applyBorder="1" applyAlignment="1">
      <alignment horizontal="center"/>
    </xf>
    <xf numFmtId="0" fontId="15" fillId="4" borderId="10" xfId="2" applyFont="1" applyFill="1" applyBorder="1" applyAlignment="1">
      <alignment horizontal="center" vertical="center"/>
    </xf>
    <xf numFmtId="0" fontId="15" fillId="4" borderId="11" xfId="2" applyFont="1" applyFill="1" applyBorder="1" applyAlignment="1">
      <alignment horizontal="center" vertical="center"/>
    </xf>
    <xf numFmtId="0" fontId="15" fillId="4" borderId="12" xfId="2" applyFont="1" applyFill="1" applyBorder="1" applyAlignment="1">
      <alignment horizontal="center" vertical="center"/>
    </xf>
    <xf numFmtId="0" fontId="15" fillId="4" borderId="13" xfId="2" applyFont="1" applyFill="1" applyBorder="1" applyAlignment="1">
      <alignment horizontal="center" vertical="center"/>
    </xf>
    <xf numFmtId="0" fontId="21" fillId="4" borderId="10" xfId="0" applyFont="1" applyFill="1" applyBorder="1" applyAlignment="1">
      <alignment horizontal="center" vertical="center" wrapText="1"/>
    </xf>
    <xf numFmtId="0" fontId="21" fillId="4" borderId="7" xfId="0" applyFont="1" applyFill="1" applyBorder="1" applyAlignment="1">
      <alignment horizontal="center" vertical="center" wrapText="1"/>
    </xf>
    <xf numFmtId="0" fontId="21" fillId="4" borderId="11" xfId="0" applyFont="1" applyFill="1" applyBorder="1" applyAlignment="1">
      <alignment horizontal="center" vertical="center" wrapText="1"/>
    </xf>
    <xf numFmtId="0" fontId="21" fillId="4" borderId="12" xfId="0" applyFont="1" applyFill="1" applyBorder="1" applyAlignment="1">
      <alignment horizontal="center" vertical="center" wrapText="1"/>
    </xf>
    <xf numFmtId="0" fontId="21" fillId="4" borderId="8" xfId="0" applyFont="1" applyFill="1" applyBorder="1" applyAlignment="1">
      <alignment horizontal="center" vertical="center" wrapText="1"/>
    </xf>
    <xf numFmtId="0" fontId="21" fillId="4" borderId="13" xfId="0" applyFont="1" applyFill="1" applyBorder="1" applyAlignment="1">
      <alignment horizontal="center" vertical="center" wrapText="1"/>
    </xf>
    <xf numFmtId="0" fontId="21" fillId="4" borderId="6" xfId="0" applyFont="1" applyFill="1" applyBorder="1" applyAlignment="1">
      <alignment horizontal="center" vertical="center" wrapText="1"/>
    </xf>
    <xf numFmtId="0" fontId="21" fillId="4" borderId="15" xfId="0" applyFont="1" applyFill="1" applyBorder="1" applyAlignment="1">
      <alignment horizontal="center" vertical="center" wrapText="1"/>
    </xf>
    <xf numFmtId="0" fontId="9" fillId="0" borderId="1" xfId="2" applyFont="1" applyBorder="1" applyAlignment="1" applyProtection="1">
      <alignment horizontal="center"/>
      <protection locked="0"/>
    </xf>
    <xf numFmtId="0" fontId="15" fillId="4" borderId="3" xfId="0" applyFont="1" applyFill="1" applyBorder="1" applyAlignment="1">
      <alignment horizontal="center" vertical="center" wrapText="1"/>
    </xf>
    <xf numFmtId="0" fontId="15" fillId="4" borderId="5" xfId="0" applyFont="1" applyFill="1" applyBorder="1" applyAlignment="1">
      <alignment horizontal="center" vertical="center" wrapText="1"/>
    </xf>
    <xf numFmtId="0" fontId="18" fillId="4" borderId="1" xfId="1" applyFont="1" applyFill="1" applyBorder="1" applyAlignment="1">
      <alignment horizontal="center" vertical="center"/>
    </xf>
    <xf numFmtId="0" fontId="9" fillId="0" borderId="1" xfId="2" applyFont="1" applyBorder="1" applyAlignment="1">
      <alignment horizontal="center" vertical="center"/>
    </xf>
    <xf numFmtId="0" fontId="15" fillId="0" borderId="5" xfId="2" applyFont="1" applyBorder="1" applyAlignment="1">
      <alignment horizontal="center" vertical="center"/>
    </xf>
    <xf numFmtId="14" fontId="9" fillId="0" borderId="3" xfId="2" applyNumberFormat="1" applyFont="1" applyBorder="1" applyAlignment="1">
      <alignment horizontal="center" vertical="center"/>
    </xf>
    <xf numFmtId="14" fontId="9" fillId="0" borderId="5" xfId="2" applyNumberFormat="1" applyFont="1" applyBorder="1" applyAlignment="1">
      <alignment horizontal="center" vertical="center"/>
    </xf>
    <xf numFmtId="2" fontId="9" fillId="0" borderId="3" xfId="2" applyNumberFormat="1" applyFont="1" applyBorder="1" applyAlignment="1">
      <alignment horizontal="center" vertical="center"/>
    </xf>
    <xf numFmtId="2" fontId="9" fillId="0" borderId="5" xfId="2" applyNumberFormat="1" applyFont="1" applyBorder="1" applyAlignment="1">
      <alignment horizontal="center" vertical="center"/>
    </xf>
    <xf numFmtId="0" fontId="9" fillId="0" borderId="3" xfId="2" applyFont="1" applyBorder="1" applyAlignment="1">
      <alignment horizontal="center" vertical="center"/>
    </xf>
    <xf numFmtId="0" fontId="9" fillId="0" borderId="5" xfId="2" applyFont="1" applyBorder="1" applyAlignment="1">
      <alignment horizontal="center" vertical="center"/>
    </xf>
    <xf numFmtId="0" fontId="15" fillId="0" borderId="3" xfId="2" applyFont="1" applyBorder="1" applyAlignment="1">
      <alignment horizontal="right" vertical="center"/>
    </xf>
    <xf numFmtId="0" fontId="15" fillId="0" borderId="4" xfId="2" applyFont="1" applyBorder="1" applyAlignment="1">
      <alignment horizontal="right" vertical="center"/>
    </xf>
    <xf numFmtId="0" fontId="15" fillId="0" borderId="5" xfId="2" applyFont="1" applyBorder="1" applyAlignment="1">
      <alignment horizontal="right" vertical="center"/>
    </xf>
    <xf numFmtId="0" fontId="9" fillId="0" borderId="3" xfId="2" applyFont="1" applyBorder="1" applyAlignment="1" applyProtection="1">
      <alignment horizontal="center" vertical="center"/>
      <protection locked="0"/>
    </xf>
    <xf numFmtId="0" fontId="9" fillId="0" borderId="5" xfId="2" applyFont="1" applyBorder="1" applyAlignment="1" applyProtection="1">
      <alignment horizontal="center" vertical="center"/>
      <protection locked="0"/>
    </xf>
    <xf numFmtId="0" fontId="15" fillId="0" borderId="1" xfId="2" applyFont="1" applyBorder="1" applyAlignment="1">
      <alignment horizontal="center"/>
    </xf>
    <xf numFmtId="0" fontId="9" fillId="0" borderId="3" xfId="0" applyFont="1" applyBorder="1" applyAlignment="1" applyProtection="1">
      <alignment horizontal="center" vertical="center" wrapText="1"/>
      <protection locked="0"/>
    </xf>
    <xf numFmtId="0" fontId="9" fillId="0" borderId="5" xfId="0" applyFont="1" applyBorder="1" applyAlignment="1" applyProtection="1">
      <alignment horizontal="center" vertical="center" wrapText="1"/>
      <protection locked="0"/>
    </xf>
    <xf numFmtId="0" fontId="30" fillId="0" borderId="3" xfId="0" applyFont="1" applyBorder="1" applyAlignment="1" applyProtection="1">
      <alignment horizontal="center" vertical="center" wrapText="1"/>
      <protection locked="0"/>
    </xf>
    <xf numFmtId="0" fontId="30" fillId="0" borderId="5" xfId="0" applyFont="1" applyBorder="1" applyAlignment="1" applyProtection="1">
      <alignment horizontal="center" vertical="center" wrapText="1"/>
      <protection locked="0"/>
    </xf>
    <xf numFmtId="2" fontId="9" fillId="0" borderId="3" xfId="0" applyNumberFormat="1" applyFont="1" applyBorder="1" applyAlignment="1" applyProtection="1">
      <alignment horizontal="center" vertical="center" wrapText="1"/>
      <protection locked="0"/>
    </xf>
    <xf numFmtId="2" fontId="9" fillId="0" borderId="5" xfId="0" applyNumberFormat="1" applyFont="1" applyBorder="1" applyAlignment="1" applyProtection="1">
      <alignment horizontal="center" vertical="center" wrapText="1"/>
      <protection locked="0"/>
    </xf>
    <xf numFmtId="164" fontId="15" fillId="4" borderId="3" xfId="1" applyNumberFormat="1" applyFont="1" applyFill="1" applyBorder="1" applyAlignment="1">
      <alignment horizontal="center" vertical="center"/>
    </xf>
    <xf numFmtId="164" fontId="15" fillId="4" borderId="5" xfId="1" applyNumberFormat="1" applyFont="1" applyFill="1" applyBorder="1" applyAlignment="1">
      <alignment horizontal="center" vertical="center"/>
    </xf>
    <xf numFmtId="164" fontId="15" fillId="4" borderId="1" xfId="1" applyNumberFormat="1" applyFont="1" applyFill="1" applyBorder="1" applyAlignment="1">
      <alignment horizontal="center" vertical="center"/>
    </xf>
    <xf numFmtId="164" fontId="24" fillId="4" borderId="3" xfId="1" applyNumberFormat="1" applyFont="1" applyFill="1" applyBorder="1" applyAlignment="1">
      <alignment horizontal="center" vertical="center"/>
    </xf>
    <xf numFmtId="164" fontId="24" fillId="4" borderId="5" xfId="1" applyNumberFormat="1" applyFont="1" applyFill="1" applyBorder="1" applyAlignment="1">
      <alignment horizontal="center" vertical="center"/>
    </xf>
    <xf numFmtId="164" fontId="24" fillId="4" borderId="1" xfId="1" applyNumberFormat="1" applyFont="1" applyFill="1" applyBorder="1" applyAlignment="1">
      <alignment horizontal="center" vertical="center"/>
    </xf>
    <xf numFmtId="0" fontId="24" fillId="4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4" borderId="6" xfId="0" applyFont="1" applyFill="1" applyBorder="1" applyAlignment="1">
      <alignment horizontal="center" vertical="center" wrapText="1"/>
    </xf>
    <xf numFmtId="0" fontId="15" fillId="0" borderId="1" xfId="2" applyFont="1" applyBorder="1" applyAlignment="1">
      <alignment horizontal="center" wrapText="1"/>
    </xf>
    <xf numFmtId="164" fontId="1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2" fontId="15" fillId="0" borderId="1" xfId="0" applyNumberFormat="1" applyFont="1" applyBorder="1" applyAlignment="1">
      <alignment horizontal="center" vertical="center" wrapText="1"/>
    </xf>
    <xf numFmtId="2" fontId="15" fillId="0" borderId="3" xfId="0" applyNumberFormat="1" applyFont="1" applyBorder="1" applyAlignment="1">
      <alignment horizontal="center" vertical="center" wrapText="1"/>
    </xf>
    <xf numFmtId="0" fontId="15" fillId="0" borderId="15" xfId="0" applyFont="1" applyBorder="1" applyAlignment="1">
      <alignment horizontal="center" vertical="center"/>
    </xf>
    <xf numFmtId="168" fontId="24" fillId="0" borderId="15" xfId="4" applyNumberFormat="1" applyFont="1" applyFill="1" applyBorder="1" applyAlignment="1" applyProtection="1">
      <alignment horizontal="center" vertical="center"/>
    </xf>
  </cellXfs>
  <cellStyles count="5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Porcentaje" xfId="4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00FF00"/>
      <color rgb="FFC00000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41736343707733"/>
          <c:y val="2.1427835984349747E-2"/>
          <c:w val="0.80533953848537809"/>
          <c:h val="0.8678911788130147"/>
        </c:manualLayout>
      </c:layout>
      <c:scatterChart>
        <c:scatterStyle val="lineMarker"/>
        <c:varyColors val="0"/>
        <c:ser>
          <c:idx val="0"/>
          <c:order val="0"/>
          <c:tx>
            <c:strRef>
              <c:f>NOx!$B$42</c:f>
              <c:strCache>
                <c:ptCount val="1"/>
                <c:pt idx="0">
                  <c:v>Respuesta Analizador [ppb]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3"/>
            <c:spPr>
              <a:solidFill>
                <a:schemeClr val="tx2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4156340127837463"/>
                  <c:y val="0.18194880837764274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sz="110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</a:defRPr>
                  </a:pPr>
                  <a:endParaRPr lang="es-CO"/>
                </a:p>
              </c:txPr>
            </c:trendlineLbl>
          </c:trendline>
          <c:xVal>
            <c:numRef>
              <c:f>NOx!$D$41:$H$41</c:f>
              <c:numCache>
                <c:formatCode>0.00</c:formatCode>
                <c:ptCount val="5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</c:numCache>
            </c:numRef>
          </c:xVal>
          <c:yVal>
            <c:numRef>
              <c:f>NOx!$D$42:$H$42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DFE-4F67-8365-EF7920CF06EA}"/>
            </c:ext>
          </c:extLst>
        </c:ser>
        <c:ser>
          <c:idx val="1"/>
          <c:order val="1"/>
          <c:tx>
            <c:v>+2%</c:v>
          </c:tx>
          <c:spPr>
            <a:ln w="9525">
              <a:solidFill>
                <a:schemeClr val="accent3"/>
              </a:solidFill>
              <a:prstDash val="sysDash"/>
            </a:ln>
          </c:spPr>
          <c:marker>
            <c:symbol val="none"/>
          </c:marker>
          <c:xVal>
            <c:numRef>
              <c:f>NOx!$D$41:$H$41</c:f>
              <c:numCache>
                <c:formatCode>0.00</c:formatCode>
                <c:ptCount val="5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</c:numCache>
            </c:numRef>
          </c:xVal>
          <c:yVal>
            <c:numRef>
              <c:f>NOx!$D$45:$H$45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DFE-4F67-8365-EF7920CF06EA}"/>
            </c:ext>
          </c:extLst>
        </c:ser>
        <c:ser>
          <c:idx val="2"/>
          <c:order val="2"/>
          <c:tx>
            <c:v>"-2%"</c:v>
          </c:tx>
          <c:spPr>
            <a:ln w="9525">
              <a:solidFill>
                <a:schemeClr val="accent6"/>
              </a:solidFill>
              <a:prstDash val="sysDash"/>
            </a:ln>
          </c:spPr>
          <c:marker>
            <c:symbol val="none"/>
          </c:marker>
          <c:xVal>
            <c:numRef>
              <c:f>NOx!$D$41:$H$41</c:f>
              <c:numCache>
                <c:formatCode>0.00</c:formatCode>
                <c:ptCount val="5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</c:numCache>
            </c:numRef>
          </c:xVal>
          <c:yVal>
            <c:numRef>
              <c:f>NOx!$D$44:$H$44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DFE-4F67-8365-EF7920CF06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395139984"/>
        <c:axId val="-395139440"/>
      </c:scatterChart>
      <c:valAx>
        <c:axId val="-395139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00" b="1">
                    <a:solidFill>
                      <a:schemeClr val="tx1"/>
                    </a:solidFill>
                  </a:rPr>
                  <a:t>Concentración Gas Patrón (ppb)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-395139440"/>
        <c:crosses val="autoZero"/>
        <c:crossBetween val="midCat"/>
      </c:valAx>
      <c:valAx>
        <c:axId val="-3951394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00" b="1">
                    <a:solidFill>
                      <a:schemeClr val="tx1"/>
                    </a:solidFill>
                  </a:rPr>
                  <a:t>Respuesta Analizador (ppb)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-395139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385572521067052"/>
          <c:y val="4.4535681955635072E-2"/>
          <c:w val="0.78479089909448951"/>
          <c:h val="0.84809286450641497"/>
        </c:manualLayout>
      </c:layout>
      <c:scatterChart>
        <c:scatterStyle val="lineMarker"/>
        <c:varyColors val="0"/>
        <c:ser>
          <c:idx val="0"/>
          <c:order val="0"/>
          <c:tx>
            <c:strRef>
              <c:f>NOx!$B$42</c:f>
              <c:strCache>
                <c:ptCount val="1"/>
                <c:pt idx="0">
                  <c:v>Respuesta Analizador [ppb]</c:v>
                </c:pt>
              </c:strCache>
            </c:strRef>
          </c:tx>
          <c:spPr>
            <a:ln w="6350" cap="rnd">
              <a:solidFill>
                <a:schemeClr val="tx2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tx2"/>
              </a:solidFill>
              <a:ln w="6350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6350" cap="rnd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2773638094007267"/>
                  <c:y val="0.17839349289259634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sz="110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</a:defRPr>
                  </a:pPr>
                  <a:endParaRPr lang="es-CO"/>
                </a:p>
              </c:txPr>
            </c:trendlineLbl>
          </c:trendline>
          <c:xVal>
            <c:numRef>
              <c:f>NOx!$J$41:$N$41</c:f>
              <c:numCache>
                <c:formatCode>0.00</c:formatCode>
                <c:ptCount val="5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</c:numCache>
            </c:numRef>
          </c:xVal>
          <c:yVal>
            <c:numRef>
              <c:f>NOx!$J$42:$N$42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15-4FDA-9CB6-19A0169D5DA2}"/>
            </c:ext>
          </c:extLst>
        </c:ser>
        <c:ser>
          <c:idx val="1"/>
          <c:order val="1"/>
          <c:tx>
            <c:v>"+2%"</c:v>
          </c:tx>
          <c:spPr>
            <a:ln w="9525">
              <a:solidFill>
                <a:schemeClr val="accent3"/>
              </a:solidFill>
              <a:prstDash val="sysDash"/>
            </a:ln>
          </c:spPr>
          <c:marker>
            <c:symbol val="none"/>
          </c:marker>
          <c:xVal>
            <c:numRef>
              <c:f>NOx!$J$41:$N$41</c:f>
              <c:numCache>
                <c:formatCode>0.00</c:formatCode>
                <c:ptCount val="5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</c:numCache>
            </c:numRef>
          </c:xVal>
          <c:yVal>
            <c:numRef>
              <c:f>NOx!$J$45:$N$45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115-4FDA-9CB6-19A0169D5DA2}"/>
            </c:ext>
          </c:extLst>
        </c:ser>
        <c:ser>
          <c:idx val="2"/>
          <c:order val="2"/>
          <c:tx>
            <c:v>"-2%"</c:v>
          </c:tx>
          <c:spPr>
            <a:ln w="9525">
              <a:solidFill>
                <a:schemeClr val="accent6"/>
              </a:solidFill>
              <a:prstDash val="sysDash"/>
            </a:ln>
          </c:spPr>
          <c:marker>
            <c:symbol val="none"/>
          </c:marker>
          <c:xVal>
            <c:numRef>
              <c:f>NOx!$J$41:$N$41</c:f>
              <c:numCache>
                <c:formatCode>0.00</c:formatCode>
                <c:ptCount val="5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</c:numCache>
            </c:numRef>
          </c:xVal>
          <c:yVal>
            <c:numRef>
              <c:f>NOx!$J$44:$N$44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115-4FDA-9CB6-19A0169D5D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395138896"/>
        <c:axId val="-354757104"/>
      </c:scatterChart>
      <c:valAx>
        <c:axId val="-395138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00" b="1">
                    <a:solidFill>
                      <a:schemeClr val="tx1"/>
                    </a:solidFill>
                  </a:rPr>
                  <a:t>Concentración Gas Patrón (ppb)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-354757104"/>
        <c:crosses val="autoZero"/>
        <c:crossBetween val="midCat"/>
      </c:valAx>
      <c:valAx>
        <c:axId val="-35475710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00" b="1">
                    <a:solidFill>
                      <a:schemeClr val="tx1"/>
                    </a:solidFill>
                  </a:rPr>
                  <a:t>Respuesta Analizador (ppb)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-395138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401837270341208"/>
          <c:y val="3.6273701566364384E-2"/>
          <c:w val="0.804530183727034"/>
          <c:h val="0.82787051041538195"/>
        </c:manualLayout>
      </c:layout>
      <c:scatterChart>
        <c:scatterStyle val="lineMarker"/>
        <c:varyColors val="0"/>
        <c:ser>
          <c:idx val="1"/>
          <c:order val="0"/>
          <c:tx>
            <c:strRef>
              <c:f>'[1]GPT - Eficiecia de Conversión '!$K$23</c:f>
              <c:strCache>
                <c:ptCount val="1"/>
                <c:pt idx="0">
                  <c:v>|NO2| Convertido Calculado [ppb]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6295275590551179E-2"/>
                  <c:y val="2.479360731186425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xVal>
            <c:numRef>
              <c:f>'[1]GPT - Eficiecia de Conversión '!$E$25:$E$29</c:f>
              <c:numCache>
                <c:formatCode>General</c:formatCode>
                <c:ptCount val="5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</c:numCache>
            </c:numRef>
          </c:xVal>
          <c:yVal>
            <c:numRef>
              <c:f>'[1]GPT - Eficiecia de Conversión '!$L$25:$L$29</c:f>
              <c:numCache>
                <c:formatCode>General</c:formatCode>
                <c:ptCount val="5"/>
                <c:pt idx="0">
                  <c:v>0</c:v>
                </c:pt>
                <c:pt idx="1">
                  <c:v>99.659999999999982</c:v>
                </c:pt>
                <c:pt idx="2">
                  <c:v>199.36</c:v>
                </c:pt>
                <c:pt idx="3">
                  <c:v>300.3</c:v>
                </c:pt>
                <c:pt idx="4">
                  <c:v>400.04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68-4436-81C3-0456359282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5126544"/>
        <c:axId val="1776275152"/>
      </c:scatterChart>
      <c:valAx>
        <c:axId val="1785126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100" b="1" i="0" cap="all" baseline="0">
                    <a:solidFill>
                      <a:sysClr val="windowText" lastClr="000000"/>
                    </a:solidFill>
                    <a:effectLst/>
                  </a:rPr>
                  <a:t>Concentración Gas Patrón (ppb)</a:t>
                </a:r>
                <a:endParaRPr lang="es-CO" sz="1100">
                  <a:solidFill>
                    <a:sysClr val="windowText" lastClr="000000"/>
                  </a:solidFill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76275152"/>
        <c:crosses val="autoZero"/>
        <c:crossBetween val="midCat"/>
        <c:majorUnit val="100"/>
      </c:valAx>
      <c:valAx>
        <c:axId val="177627515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50" b="1" i="0" cap="all" baseline="0">
                    <a:solidFill>
                      <a:sysClr val="windowText" lastClr="000000"/>
                    </a:solidFill>
                    <a:effectLst/>
                  </a:rPr>
                  <a:t>Respuesta Analizador (ppb)</a:t>
                </a:r>
                <a:endParaRPr lang="es-CO" sz="1050">
                  <a:solidFill>
                    <a:sysClr val="windowText" lastClr="000000"/>
                  </a:solidFill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85126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2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87271</xdr:colOff>
      <xdr:row>62</xdr:row>
      <xdr:rowOff>41626</xdr:rowOff>
    </xdr:from>
    <xdr:to>
      <xdr:col>6</xdr:col>
      <xdr:colOff>492125</xdr:colOff>
      <xdr:row>78</xdr:row>
      <xdr:rowOff>52298</xdr:rowOff>
    </xdr:to>
    <xdr:graphicFrame macro="">
      <xdr:nvGraphicFramePr>
        <xdr:cNvPr id="2" name="Gráfico 3">
          <a:extLst>
            <a:ext uri="{FF2B5EF4-FFF2-40B4-BE49-F238E27FC236}">
              <a16:creationId xmlns:a16="http://schemas.microsoft.com/office/drawing/2014/main" id="{E3D8108D-DF8D-4D5A-9E8C-748F5312A6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658019</xdr:colOff>
      <xdr:row>62</xdr:row>
      <xdr:rowOff>41838</xdr:rowOff>
    </xdr:from>
    <xdr:to>
      <xdr:col>13</xdr:col>
      <xdr:colOff>654050</xdr:colOff>
      <xdr:row>78</xdr:row>
      <xdr:rowOff>54539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AF2977-9E50-4E6D-9082-C18EA3C244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</xdr:col>
      <xdr:colOff>368291</xdr:colOff>
      <xdr:row>55</xdr:row>
      <xdr:rowOff>39377</xdr:rowOff>
    </xdr:from>
    <xdr:ext cx="1092209" cy="697796"/>
    <xdr:pic>
      <xdr:nvPicPr>
        <xdr:cNvPr id="5" name="Imagen 4">
          <a:extLst>
            <a:ext uri="{FF2B5EF4-FFF2-40B4-BE49-F238E27FC236}">
              <a16:creationId xmlns:a16="http://schemas.microsoft.com/office/drawing/2014/main" id="{7B161CCB-2DE4-4498-9EBA-F54C7DF9C4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2591" y="9069077"/>
          <a:ext cx="1092209" cy="697796"/>
        </a:xfrm>
        <a:prstGeom prst="rect">
          <a:avLst/>
        </a:prstGeom>
      </xdr:spPr>
    </xdr:pic>
    <xdr:clientData/>
  </xdr:oneCellAnchor>
  <xdr:twoCellAnchor editAs="oneCell">
    <xdr:from>
      <xdr:col>1</xdr:col>
      <xdr:colOff>440532</xdr:colOff>
      <xdr:row>1</xdr:row>
      <xdr:rowOff>71438</xdr:rowOff>
    </xdr:from>
    <xdr:to>
      <xdr:col>1</xdr:col>
      <xdr:colOff>1154907</xdr:colOff>
      <xdr:row>4</xdr:row>
      <xdr:rowOff>170754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4F461E93-63DF-463A-97A6-B90131746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9595" y="178594"/>
          <a:ext cx="714375" cy="67081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844550</xdr:colOff>
      <xdr:row>33</xdr:row>
      <xdr:rowOff>88900</xdr:rowOff>
    </xdr:from>
    <xdr:to>
      <xdr:col>11</xdr:col>
      <xdr:colOff>158750</xdr:colOff>
      <xdr:row>49</xdr:row>
      <xdr:rowOff>25401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C00FCE3-BB65-42C8-9E33-F5270D86E5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740834</xdr:colOff>
      <xdr:row>1</xdr:row>
      <xdr:rowOff>31750</xdr:rowOff>
    </xdr:from>
    <xdr:to>
      <xdr:col>2</xdr:col>
      <xdr:colOff>185209</xdr:colOff>
      <xdr:row>4</xdr:row>
      <xdr:rowOff>131066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6FDD30B-6252-4543-97D8-4E3CB13D89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1" y="137583"/>
          <a:ext cx="714375" cy="67081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AUTOMATICOS%20EDGAR%20B/FO-PO-PSM-08-10%20FORMATO%20DE%20CALIBRACI&#211;N%20Y%20MEDICI&#211;N%20DE%20EQUIPOS%20%20NO2%20AUTOM&#193;TICOS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ACION 6"/>
      <sheetName val="ESTACION 7 "/>
      <sheetName val="ESTACION 8"/>
      <sheetName val="ESTACION 9"/>
      <sheetName val="ESTACION 10"/>
      <sheetName val="GPT - Eficiecia de Conversión "/>
      <sheetName val="Hoja1"/>
      <sheetName val="Lista"/>
    </sheetNames>
    <sheetDataSet>
      <sheetData sheetId="0" refreshError="1">
        <row r="9">
          <cell r="M9" t="str">
            <v>ppb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>
        <row r="23">
          <cell r="K23" t="str">
            <v>|NO2| Convertido Calculado [ppb]</v>
          </cell>
        </row>
        <row r="25">
          <cell r="E25">
            <v>0</v>
          </cell>
          <cell r="L25" t="str">
            <v>-</v>
          </cell>
        </row>
        <row r="26">
          <cell r="E26">
            <v>100</v>
          </cell>
          <cell r="L26">
            <v>99.659999999999982</v>
          </cell>
        </row>
        <row r="27">
          <cell r="E27">
            <v>200</v>
          </cell>
          <cell r="L27">
            <v>199.36</v>
          </cell>
        </row>
        <row r="28">
          <cell r="E28">
            <v>300</v>
          </cell>
          <cell r="L28">
            <v>300.3</v>
          </cell>
        </row>
        <row r="29">
          <cell r="E29">
            <v>400</v>
          </cell>
          <cell r="L29">
            <v>400.04</v>
          </cell>
        </row>
      </sheetData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725C7-EF11-4580-B68C-7A9355B37D4C}">
  <dimension ref="B1:N123"/>
  <sheetViews>
    <sheetView showGridLines="0" view="pageBreakPreview" topLeftCell="A121" zoomScale="80" zoomScaleNormal="55" zoomScaleSheetLayoutView="80" zoomScalePageLayoutView="55" workbookViewId="0">
      <selection activeCell="M58" sqref="M58:N58"/>
    </sheetView>
  </sheetViews>
  <sheetFormatPr baseColWidth="10" defaultColWidth="11.42578125" defaultRowHeight="12.75" x14ac:dyDescent="0.2"/>
  <cols>
    <col min="1" max="1" width="1.7109375" style="1" customWidth="1"/>
    <col min="2" max="2" width="19" style="1" customWidth="1"/>
    <col min="3" max="3" width="10.28515625" style="1" customWidth="1"/>
    <col min="4" max="6" width="10.5703125" style="1" customWidth="1"/>
    <col min="7" max="7" width="11.140625" style="1" customWidth="1"/>
    <col min="8" max="8" width="10.140625" style="1" customWidth="1"/>
    <col min="9" max="9" width="1.85546875" style="1" customWidth="1"/>
    <col min="10" max="10" width="10.5703125" style="1" customWidth="1"/>
    <col min="11" max="11" width="10.140625" style="1" customWidth="1"/>
    <col min="12" max="12" width="12.140625" style="1" customWidth="1"/>
    <col min="13" max="13" width="10.5703125" style="1" customWidth="1"/>
    <col min="14" max="14" width="14.7109375" style="1" customWidth="1"/>
    <col min="15" max="15" width="1.85546875" style="1" customWidth="1"/>
    <col min="16" max="16384" width="11.42578125" style="1"/>
  </cols>
  <sheetData>
    <row r="1" spans="2:14" ht="8.4499999999999993" customHeight="1" x14ac:dyDescent="0.2"/>
    <row r="2" spans="2:14" ht="15" customHeight="1" x14ac:dyDescent="0.2">
      <c r="B2" s="106"/>
      <c r="C2" s="107"/>
      <c r="D2" s="112" t="s">
        <v>125</v>
      </c>
      <c r="E2" s="113"/>
      <c r="F2" s="113"/>
      <c r="G2" s="113"/>
      <c r="H2" s="113"/>
      <c r="I2" s="113"/>
      <c r="J2" s="113"/>
      <c r="K2" s="113"/>
      <c r="L2" s="114"/>
      <c r="M2" s="121" t="s">
        <v>93</v>
      </c>
      <c r="N2" s="122"/>
    </row>
    <row r="3" spans="2:14" ht="15" customHeight="1" x14ac:dyDescent="0.2">
      <c r="B3" s="108"/>
      <c r="C3" s="109"/>
      <c r="D3" s="115"/>
      <c r="E3" s="116"/>
      <c r="F3" s="116"/>
      <c r="G3" s="116"/>
      <c r="H3" s="116"/>
      <c r="I3" s="116"/>
      <c r="J3" s="116"/>
      <c r="K3" s="116"/>
      <c r="L3" s="117"/>
      <c r="M3" s="123" t="s">
        <v>135</v>
      </c>
      <c r="N3" s="124"/>
    </row>
    <row r="4" spans="2:14" ht="15" customHeight="1" x14ac:dyDescent="0.2">
      <c r="B4" s="108"/>
      <c r="C4" s="109"/>
      <c r="D4" s="115"/>
      <c r="E4" s="116"/>
      <c r="F4" s="116"/>
      <c r="G4" s="116"/>
      <c r="H4" s="116"/>
      <c r="I4" s="116"/>
      <c r="J4" s="116"/>
      <c r="K4" s="116"/>
      <c r="L4" s="117"/>
      <c r="M4" s="125" t="s">
        <v>134</v>
      </c>
      <c r="N4" s="126"/>
    </row>
    <row r="5" spans="2:14" ht="15" customHeight="1" x14ac:dyDescent="0.2">
      <c r="B5" s="110"/>
      <c r="C5" s="111"/>
      <c r="D5" s="118"/>
      <c r="E5" s="119"/>
      <c r="F5" s="119"/>
      <c r="G5" s="119"/>
      <c r="H5" s="119"/>
      <c r="I5" s="119"/>
      <c r="J5" s="119"/>
      <c r="K5" s="119"/>
      <c r="L5" s="120"/>
      <c r="M5" s="127" t="s">
        <v>103</v>
      </c>
      <c r="N5" s="128"/>
    </row>
    <row r="6" spans="2:14" ht="3.95" customHeight="1" x14ac:dyDescent="0.2">
      <c r="B6" s="140"/>
      <c r="C6" s="140"/>
      <c r="D6" s="140"/>
      <c r="E6" s="140"/>
      <c r="F6" s="140"/>
      <c r="G6" s="140"/>
      <c r="H6" s="140"/>
      <c r="I6" s="140"/>
      <c r="J6" s="140"/>
      <c r="K6" s="140"/>
      <c r="L6" s="140"/>
      <c r="M6" s="140"/>
      <c r="N6" s="140"/>
    </row>
    <row r="7" spans="2:14" ht="18" customHeight="1" x14ac:dyDescent="0.2">
      <c r="B7" s="141" t="s">
        <v>4</v>
      </c>
      <c r="C7" s="142"/>
      <c r="D7" s="142"/>
      <c r="E7" s="142"/>
      <c r="F7" s="142"/>
      <c r="G7" s="141" t="s">
        <v>0</v>
      </c>
      <c r="H7" s="142"/>
      <c r="I7" s="142"/>
      <c r="J7" s="142"/>
      <c r="K7" s="142"/>
      <c r="L7" s="142"/>
      <c r="M7" s="142"/>
      <c r="N7" s="143"/>
    </row>
    <row r="8" spans="2:14" s="2" customFormat="1" ht="15" customHeight="1" x14ac:dyDescent="0.25">
      <c r="B8" s="4" t="s">
        <v>12</v>
      </c>
      <c r="C8" s="129"/>
      <c r="D8" s="130"/>
      <c r="E8" s="131"/>
      <c r="F8" s="5" t="s">
        <v>6</v>
      </c>
      <c r="G8" s="6"/>
      <c r="H8" s="134" t="s">
        <v>123</v>
      </c>
      <c r="I8" s="134"/>
      <c r="J8" s="134"/>
      <c r="K8" s="144" t="s">
        <v>8</v>
      </c>
      <c r="L8" s="144"/>
      <c r="M8" s="145"/>
      <c r="N8" s="145"/>
    </row>
    <row r="9" spans="2:14" s="2" customFormat="1" ht="15" customHeight="1" x14ac:dyDescent="0.25">
      <c r="B9" s="7" t="s">
        <v>7</v>
      </c>
      <c r="C9" s="129"/>
      <c r="D9" s="130"/>
      <c r="E9" s="131"/>
      <c r="F9" s="5" t="s">
        <v>5</v>
      </c>
      <c r="G9" s="8"/>
      <c r="H9" s="132"/>
      <c r="I9" s="132"/>
      <c r="J9" s="132"/>
      <c r="K9" s="133" t="s">
        <v>10</v>
      </c>
      <c r="L9" s="133"/>
      <c r="M9" s="134" t="s">
        <v>124</v>
      </c>
      <c r="N9" s="134"/>
    </row>
    <row r="10" spans="2:14" s="2" customFormat="1" ht="27" customHeight="1" x14ac:dyDescent="0.25">
      <c r="B10" s="9" t="s">
        <v>22</v>
      </c>
      <c r="C10" s="135"/>
      <c r="D10" s="136"/>
      <c r="E10" s="136"/>
      <c r="F10" s="136"/>
      <c r="G10" s="137"/>
      <c r="H10" s="10"/>
      <c r="I10" s="11"/>
      <c r="J10" s="12" t="str">
        <f>+M9</f>
        <v>ppb</v>
      </c>
      <c r="K10" s="138" t="s">
        <v>102</v>
      </c>
      <c r="L10" s="139"/>
      <c r="M10" s="13"/>
      <c r="N10" s="12" t="str">
        <f>+M9</f>
        <v>ppb</v>
      </c>
    </row>
    <row r="11" spans="2:14" ht="3.95" customHeight="1" x14ac:dyDescent="0.2">
      <c r="B11" s="146"/>
      <c r="C11" s="147"/>
      <c r="D11" s="147"/>
      <c r="E11" s="147"/>
      <c r="F11" s="147"/>
      <c r="G11" s="147"/>
      <c r="H11" s="147"/>
      <c r="I11" s="147"/>
      <c r="J11" s="147"/>
      <c r="K11" s="147"/>
      <c r="L11" s="147"/>
      <c r="M11" s="147"/>
      <c r="N11" s="148"/>
    </row>
    <row r="12" spans="2:14" ht="18" customHeight="1" x14ac:dyDescent="0.2">
      <c r="B12" s="141" t="s">
        <v>1</v>
      </c>
      <c r="C12" s="142"/>
      <c r="D12" s="142"/>
      <c r="E12" s="142"/>
      <c r="F12" s="142"/>
      <c r="G12" s="142"/>
      <c r="H12" s="142"/>
      <c r="I12" s="142"/>
      <c r="J12" s="142"/>
      <c r="K12" s="142"/>
      <c r="L12" s="142"/>
      <c r="M12" s="142"/>
      <c r="N12" s="143"/>
    </row>
    <row r="13" spans="2:14" ht="15" customHeight="1" x14ac:dyDescent="0.2">
      <c r="B13" s="149" t="s">
        <v>14</v>
      </c>
      <c r="C13" s="150"/>
      <c r="D13" s="151"/>
      <c r="E13" s="149" t="s">
        <v>15</v>
      </c>
      <c r="F13" s="150"/>
      <c r="G13" s="150"/>
      <c r="H13" s="150"/>
      <c r="I13" s="151"/>
      <c r="J13" s="149" t="s">
        <v>16</v>
      </c>
      <c r="K13" s="150"/>
      <c r="L13" s="150"/>
      <c r="M13" s="150"/>
      <c r="N13" s="151"/>
    </row>
    <row r="14" spans="2:14" ht="15" customHeight="1" x14ac:dyDescent="0.2">
      <c r="B14" s="14" t="s">
        <v>9</v>
      </c>
      <c r="C14" s="152"/>
      <c r="D14" s="153"/>
      <c r="E14" s="154" t="s">
        <v>9</v>
      </c>
      <c r="F14" s="155"/>
      <c r="G14" s="156"/>
      <c r="H14" s="157"/>
      <c r="I14" s="158"/>
      <c r="J14" s="154" t="s">
        <v>9</v>
      </c>
      <c r="K14" s="155"/>
      <c r="L14" s="156"/>
      <c r="M14" s="157"/>
      <c r="N14" s="158"/>
    </row>
    <row r="15" spans="2:14" ht="15" customHeight="1" x14ac:dyDescent="0.2">
      <c r="B15" s="14" t="s">
        <v>8</v>
      </c>
      <c r="C15" s="152"/>
      <c r="D15" s="153"/>
      <c r="E15" s="154" t="s">
        <v>8</v>
      </c>
      <c r="F15" s="155"/>
      <c r="G15" s="152"/>
      <c r="H15" s="162"/>
      <c r="I15" s="153"/>
      <c r="J15" s="154" t="s">
        <v>20</v>
      </c>
      <c r="K15" s="155"/>
      <c r="L15" s="152"/>
      <c r="M15" s="162"/>
      <c r="N15" s="153"/>
    </row>
    <row r="16" spans="2:14" ht="15" customHeight="1" x14ac:dyDescent="0.2">
      <c r="B16" s="14" t="s">
        <v>11</v>
      </c>
      <c r="C16" s="152"/>
      <c r="D16" s="153"/>
      <c r="E16" s="154" t="s">
        <v>11</v>
      </c>
      <c r="F16" s="155"/>
      <c r="G16" s="152"/>
      <c r="H16" s="162"/>
      <c r="I16" s="153"/>
      <c r="J16" s="154" t="s">
        <v>19</v>
      </c>
      <c r="K16" s="155"/>
      <c r="L16" s="152"/>
      <c r="M16" s="162"/>
      <c r="N16" s="153"/>
    </row>
    <row r="17" spans="2:14" ht="15" customHeight="1" x14ac:dyDescent="0.2">
      <c r="B17" s="14" t="s">
        <v>18</v>
      </c>
      <c r="C17" s="156"/>
      <c r="D17" s="158"/>
      <c r="E17" s="154" t="s">
        <v>17</v>
      </c>
      <c r="F17" s="155"/>
      <c r="G17" s="159"/>
      <c r="H17" s="160"/>
      <c r="I17" s="161"/>
      <c r="J17" s="154" t="s">
        <v>17</v>
      </c>
      <c r="K17" s="155"/>
      <c r="L17" s="159"/>
      <c r="M17" s="162"/>
      <c r="N17" s="153"/>
    </row>
    <row r="18" spans="2:14" ht="3.95" customHeight="1" x14ac:dyDescent="0.2">
      <c r="B18" s="163"/>
      <c r="C18" s="164"/>
      <c r="D18" s="164"/>
      <c r="E18" s="164"/>
      <c r="F18" s="164"/>
      <c r="G18" s="164"/>
      <c r="H18" s="164"/>
      <c r="I18" s="164"/>
      <c r="J18" s="164"/>
      <c r="K18" s="164"/>
      <c r="L18" s="164"/>
      <c r="M18" s="164"/>
      <c r="N18" s="165"/>
    </row>
    <row r="19" spans="2:14" ht="18" customHeight="1" x14ac:dyDescent="0.2">
      <c r="B19" s="167" t="s">
        <v>25</v>
      </c>
      <c r="C19" s="168"/>
      <c r="D19" s="168"/>
      <c r="E19" s="168"/>
      <c r="F19" s="168"/>
      <c r="G19" s="168"/>
      <c r="H19" s="168"/>
      <c r="I19" s="168"/>
      <c r="J19" s="168"/>
      <c r="K19" s="168"/>
      <c r="L19" s="168"/>
      <c r="M19" s="168"/>
      <c r="N19" s="169"/>
    </row>
    <row r="20" spans="2:14" ht="3.95" customHeight="1" x14ac:dyDescent="0.2">
      <c r="B20" s="15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7"/>
    </row>
    <row r="21" spans="2:14" ht="28.5" customHeight="1" x14ac:dyDescent="0.2">
      <c r="B21" s="18"/>
      <c r="C21" s="19"/>
      <c r="D21" s="19"/>
      <c r="E21" s="172" t="str">
        <f>+CONCATENATE("Concentración Patrón ","[",$M$9,"]")</f>
        <v>Concentración Patrón [ppb]</v>
      </c>
      <c r="F21" s="172"/>
      <c r="G21" s="173" t="str">
        <f>+CONCATENATE("Respuesta analizador ","[",$M$9,"]")</f>
        <v>Respuesta analizador [ppb]</v>
      </c>
      <c r="H21" s="173"/>
      <c r="I21" s="173"/>
      <c r="J21" s="173" t="str">
        <f>+CONCATENATE("Diferencia absoluta ","[",$M$9,"]")</f>
        <v>Diferencia absoluta [ppb]</v>
      </c>
      <c r="K21" s="173"/>
      <c r="L21" s="20"/>
      <c r="M21" s="20"/>
      <c r="N21" s="21"/>
    </row>
    <row r="22" spans="2:14" ht="15" customHeight="1" x14ac:dyDescent="0.25">
      <c r="B22" s="18"/>
      <c r="C22" s="172" t="s">
        <v>23</v>
      </c>
      <c r="D22" s="172"/>
      <c r="E22" s="174">
        <v>0</v>
      </c>
      <c r="F22" s="174"/>
      <c r="G22" s="175"/>
      <c r="H22" s="175"/>
      <c r="I22" s="175"/>
      <c r="J22" s="166" t="str">
        <f>IF(ISBLANK(G22),"-",ABS(E22-G22))</f>
        <v>-</v>
      </c>
      <c r="K22" s="166"/>
      <c r="L22" s="20"/>
      <c r="M22" s="20"/>
      <c r="N22" s="22"/>
    </row>
    <row r="23" spans="2:14" ht="15" customHeight="1" x14ac:dyDescent="0.25">
      <c r="B23" s="18"/>
      <c r="C23" s="172" t="s">
        <v>24</v>
      </c>
      <c r="D23" s="172"/>
      <c r="E23" s="186">
        <v>400</v>
      </c>
      <c r="F23" s="186"/>
      <c r="G23" s="175"/>
      <c r="H23" s="175"/>
      <c r="I23" s="175"/>
      <c r="J23" s="166" t="str">
        <f>IF(ISBLANK(G23),"-",ABS(E23-G23))</f>
        <v>-</v>
      </c>
      <c r="K23" s="166"/>
      <c r="L23" s="20"/>
      <c r="M23" s="20"/>
      <c r="N23" s="22"/>
    </row>
    <row r="24" spans="2:14" ht="6.95" customHeight="1" x14ac:dyDescent="0.2">
      <c r="B24" s="23"/>
      <c r="C24" s="24"/>
      <c r="D24" s="24"/>
      <c r="E24" s="24"/>
      <c r="F24" s="25"/>
      <c r="G24" s="24"/>
      <c r="H24" s="24"/>
      <c r="I24" s="24"/>
      <c r="J24" s="24"/>
      <c r="K24" s="24"/>
      <c r="L24" s="24"/>
      <c r="M24" s="25"/>
      <c r="N24" s="26"/>
    </row>
    <row r="25" spans="2:14" ht="3.95" customHeight="1" x14ac:dyDescent="0.2">
      <c r="B25" s="27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1"/>
    </row>
    <row r="26" spans="2:14" ht="18" customHeight="1" x14ac:dyDescent="0.2">
      <c r="B26" s="167" t="s">
        <v>27</v>
      </c>
      <c r="C26" s="168"/>
      <c r="D26" s="168"/>
      <c r="E26" s="168"/>
      <c r="F26" s="168"/>
      <c r="G26" s="168"/>
      <c r="H26" s="168"/>
      <c r="I26" s="168"/>
      <c r="J26" s="168"/>
      <c r="K26" s="168"/>
      <c r="L26" s="168"/>
      <c r="M26" s="168"/>
      <c r="N26" s="169"/>
    </row>
    <row r="27" spans="2:14" ht="3.95" customHeight="1" x14ac:dyDescent="0.2">
      <c r="B27" s="27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1"/>
    </row>
    <row r="28" spans="2:14" ht="15" customHeight="1" x14ac:dyDescent="0.2">
      <c r="B28" s="108"/>
      <c r="C28" s="170"/>
      <c r="D28" s="171" t="s">
        <v>101</v>
      </c>
      <c r="E28" s="171"/>
      <c r="F28" s="171"/>
      <c r="G28" s="171"/>
      <c r="H28" s="171"/>
      <c r="I28" s="28"/>
      <c r="J28" s="171" t="s">
        <v>100</v>
      </c>
      <c r="K28" s="171"/>
      <c r="L28" s="171"/>
      <c r="M28" s="171"/>
      <c r="N28" s="171"/>
    </row>
    <row r="29" spans="2:14" ht="15" customHeight="1" x14ac:dyDescent="0.2">
      <c r="B29" s="176" t="s">
        <v>2</v>
      </c>
      <c r="C29" s="176"/>
      <c r="D29" s="29">
        <v>0</v>
      </c>
      <c r="E29" s="29">
        <v>20</v>
      </c>
      <c r="F29" s="29">
        <v>40</v>
      </c>
      <c r="G29" s="29">
        <v>60</v>
      </c>
      <c r="H29" s="29">
        <v>80</v>
      </c>
      <c r="I29" s="28"/>
      <c r="J29" s="30">
        <v>0</v>
      </c>
      <c r="K29" s="30">
        <v>20</v>
      </c>
      <c r="L29" s="30">
        <v>40</v>
      </c>
      <c r="M29" s="30">
        <v>60</v>
      </c>
      <c r="N29" s="30">
        <v>80</v>
      </c>
    </row>
    <row r="30" spans="2:14" ht="15" customHeight="1" x14ac:dyDescent="0.2">
      <c r="B30" s="177" t="s">
        <v>99</v>
      </c>
      <c r="C30" s="177"/>
      <c r="D30" s="31">
        <v>0</v>
      </c>
      <c r="E30" s="31">
        <v>100</v>
      </c>
      <c r="F30" s="31">
        <v>200</v>
      </c>
      <c r="G30" s="31">
        <v>300</v>
      </c>
      <c r="H30" s="31">
        <v>400</v>
      </c>
      <c r="I30" s="28"/>
      <c r="J30" s="31">
        <v>0</v>
      </c>
      <c r="K30" s="31">
        <v>100</v>
      </c>
      <c r="L30" s="31">
        <v>200</v>
      </c>
      <c r="M30" s="31">
        <v>300</v>
      </c>
      <c r="N30" s="31">
        <v>400</v>
      </c>
    </row>
    <row r="31" spans="2:14" ht="15" customHeight="1" x14ac:dyDescent="0.2">
      <c r="B31" s="178" t="s">
        <v>21</v>
      </c>
      <c r="C31" s="179"/>
      <c r="D31" s="184" t="s">
        <v>98</v>
      </c>
      <c r="E31" s="184" t="s">
        <v>98</v>
      </c>
      <c r="F31" s="184" t="s">
        <v>98</v>
      </c>
      <c r="G31" s="184" t="s">
        <v>98</v>
      </c>
      <c r="H31" s="184" t="s">
        <v>98</v>
      </c>
      <c r="I31" s="32"/>
      <c r="J31" s="184" t="s">
        <v>97</v>
      </c>
      <c r="K31" s="184" t="s">
        <v>97</v>
      </c>
      <c r="L31" s="184" t="s">
        <v>97</v>
      </c>
      <c r="M31" s="184" t="s">
        <v>97</v>
      </c>
      <c r="N31" s="184" t="s">
        <v>97</v>
      </c>
    </row>
    <row r="32" spans="2:14" ht="20.100000000000001" customHeight="1" x14ac:dyDescent="0.2">
      <c r="B32" s="180"/>
      <c r="C32" s="181"/>
      <c r="D32" s="185"/>
      <c r="E32" s="185"/>
      <c r="F32" s="185"/>
      <c r="G32" s="185"/>
      <c r="H32" s="185"/>
      <c r="I32" s="32"/>
      <c r="J32" s="185"/>
      <c r="K32" s="185"/>
      <c r="L32" s="185"/>
      <c r="M32" s="185"/>
      <c r="N32" s="185"/>
    </row>
    <row r="33" spans="2:14" ht="15" customHeight="1" x14ac:dyDescent="0.2">
      <c r="B33" s="182"/>
      <c r="C33" s="183"/>
      <c r="D33" s="33" t="str">
        <f>+CONCATENATE("[",$M$9,"]")</f>
        <v>[ppb]</v>
      </c>
      <c r="E33" s="33" t="str">
        <f>+CONCATENATE("[",$M$9,"]")</f>
        <v>[ppb]</v>
      </c>
      <c r="F33" s="33" t="str">
        <f>+CONCATENATE("[",$M$9,"]")</f>
        <v>[ppb]</v>
      </c>
      <c r="G33" s="33" t="str">
        <f>+CONCATENATE("[",$M$9,"]")</f>
        <v>[ppb]</v>
      </c>
      <c r="H33" s="33" t="str">
        <f>+CONCATENATE("[",$M$9,"]")</f>
        <v>[ppb]</v>
      </c>
      <c r="I33" s="32"/>
      <c r="J33" s="33" t="str">
        <f>+CONCATENATE("[",$M$9,"]")</f>
        <v>[ppb]</v>
      </c>
      <c r="K33" s="33" t="str">
        <f>+CONCATENATE("[",$M$9,"]")</f>
        <v>[ppb]</v>
      </c>
      <c r="L33" s="33" t="str">
        <f>+CONCATENATE("[",$M$9,"]")</f>
        <v>[ppb]</v>
      </c>
      <c r="M33" s="33" t="str">
        <f>+CONCATENATE("[",$M$9,"]")</f>
        <v>[ppb]</v>
      </c>
      <c r="N33" s="33" t="str">
        <f>+CONCATENATE("[",$M$9,"]")</f>
        <v>[ppb]</v>
      </c>
    </row>
    <row r="34" spans="2:14" ht="15" customHeight="1" x14ac:dyDescent="0.25">
      <c r="B34" s="180">
        <v>1</v>
      </c>
      <c r="C34" s="180"/>
      <c r="D34" s="34"/>
      <c r="E34" s="34"/>
      <c r="F34" s="34"/>
      <c r="G34" s="34"/>
      <c r="H34" s="34"/>
      <c r="I34" s="35"/>
      <c r="J34" s="34"/>
      <c r="K34" s="34"/>
      <c r="L34" s="34"/>
      <c r="M34" s="34"/>
      <c r="N34" s="34"/>
    </row>
    <row r="35" spans="2:14" ht="15" customHeight="1" x14ac:dyDescent="0.25">
      <c r="B35" s="180">
        <v>2</v>
      </c>
      <c r="C35" s="180"/>
      <c r="D35" s="34"/>
      <c r="E35" s="34"/>
      <c r="F35" s="34"/>
      <c r="G35" s="34"/>
      <c r="H35" s="34"/>
      <c r="I35" s="35"/>
      <c r="J35" s="34"/>
      <c r="K35" s="34"/>
      <c r="L35" s="34"/>
      <c r="M35" s="34"/>
      <c r="N35" s="34"/>
    </row>
    <row r="36" spans="2:14" ht="15" customHeight="1" x14ac:dyDescent="0.25">
      <c r="B36" s="180">
        <v>3</v>
      </c>
      <c r="C36" s="180"/>
      <c r="D36" s="34"/>
      <c r="E36" s="34"/>
      <c r="F36" s="34"/>
      <c r="G36" s="34"/>
      <c r="H36" s="34"/>
      <c r="I36" s="35"/>
      <c r="J36" s="34"/>
      <c r="K36" s="34"/>
      <c r="L36" s="34"/>
      <c r="M36" s="34"/>
      <c r="N36" s="34"/>
    </row>
    <row r="37" spans="2:14" ht="15" customHeight="1" x14ac:dyDescent="0.25">
      <c r="B37" s="180">
        <v>4</v>
      </c>
      <c r="C37" s="180"/>
      <c r="D37" s="34"/>
      <c r="E37" s="34"/>
      <c r="F37" s="34"/>
      <c r="G37" s="34"/>
      <c r="H37" s="34"/>
      <c r="I37" s="35"/>
      <c r="J37" s="34"/>
      <c r="K37" s="34"/>
      <c r="L37" s="34"/>
      <c r="M37" s="34"/>
      <c r="N37" s="34"/>
    </row>
    <row r="38" spans="2:14" ht="15" customHeight="1" x14ac:dyDescent="0.25">
      <c r="B38" s="180">
        <v>5</v>
      </c>
      <c r="C38" s="180"/>
      <c r="D38" s="34"/>
      <c r="E38" s="34"/>
      <c r="F38" s="34"/>
      <c r="G38" s="34"/>
      <c r="H38" s="34"/>
      <c r="I38" s="35"/>
      <c r="J38" s="34"/>
      <c r="K38" s="34"/>
      <c r="L38" s="34"/>
      <c r="M38" s="34"/>
      <c r="N38" s="34"/>
    </row>
    <row r="39" spans="2:14" ht="18" customHeight="1" x14ac:dyDescent="0.2">
      <c r="B39" s="187" t="s">
        <v>3</v>
      </c>
      <c r="C39" s="187"/>
      <c r="D39" s="36" t="e">
        <f>AVERAGE(D34:D38)</f>
        <v>#DIV/0!</v>
      </c>
      <c r="E39" s="37" t="e">
        <f>AVERAGE(E34:E38)</f>
        <v>#DIV/0!</v>
      </c>
      <c r="F39" s="36" t="e">
        <f>AVERAGE(F34:F38)</f>
        <v>#DIV/0!</v>
      </c>
      <c r="G39" s="37" t="e">
        <f>AVERAGE(G34:G38)</f>
        <v>#DIV/0!</v>
      </c>
      <c r="H39" s="36" t="e">
        <f>AVERAGE(H34:H38)</f>
        <v>#DIV/0!</v>
      </c>
      <c r="I39" s="38"/>
      <c r="J39" s="36" t="e">
        <f>AVERAGE(J34:J38)</f>
        <v>#DIV/0!</v>
      </c>
      <c r="K39" s="37" t="e">
        <f>AVERAGE(K34:K38)</f>
        <v>#DIV/0!</v>
      </c>
      <c r="L39" s="37" t="e">
        <f>AVERAGE(L34:L38)</f>
        <v>#DIV/0!</v>
      </c>
      <c r="M39" s="36" t="e">
        <f>AVERAGE(M34:M38)</f>
        <v>#DIV/0!</v>
      </c>
      <c r="N39" s="37" t="e">
        <f>AVERAGE(N34:N38)</f>
        <v>#DIV/0!</v>
      </c>
    </row>
    <row r="40" spans="2:14" ht="5.0999999999999996" customHeight="1" x14ac:dyDescent="0.2">
      <c r="B40" s="106"/>
      <c r="C40" s="140"/>
      <c r="D40" s="140"/>
      <c r="E40" s="140"/>
      <c r="F40" s="140"/>
      <c r="G40" s="140"/>
      <c r="H40" s="140"/>
      <c r="I40" s="140"/>
      <c r="J40" s="140"/>
      <c r="K40" s="140"/>
      <c r="L40" s="140"/>
      <c r="M40" s="140"/>
      <c r="N40" s="107"/>
    </row>
    <row r="41" spans="2:14" ht="15" customHeight="1" x14ac:dyDescent="0.2">
      <c r="B41" s="188" t="s">
        <v>96</v>
      </c>
      <c r="C41" s="189"/>
      <c r="D41" s="39">
        <f>D30</f>
        <v>0</v>
      </c>
      <c r="E41" s="39">
        <f>E30</f>
        <v>100</v>
      </c>
      <c r="F41" s="39">
        <f>F30</f>
        <v>200</v>
      </c>
      <c r="G41" s="39">
        <f>G30</f>
        <v>300</v>
      </c>
      <c r="H41" s="39">
        <f>H30</f>
        <v>400</v>
      </c>
      <c r="I41" s="40"/>
      <c r="J41" s="39">
        <f>J30</f>
        <v>0</v>
      </c>
      <c r="K41" s="39">
        <f>K30</f>
        <v>100</v>
      </c>
      <c r="L41" s="39">
        <f>L30</f>
        <v>200</v>
      </c>
      <c r="M41" s="39">
        <f>M30</f>
        <v>300</v>
      </c>
      <c r="N41" s="39">
        <f>N30</f>
        <v>400</v>
      </c>
    </row>
    <row r="42" spans="2:14" ht="15" customHeight="1" x14ac:dyDescent="0.2">
      <c r="B42" s="188" t="s">
        <v>95</v>
      </c>
      <c r="C42" s="189"/>
      <c r="D42" s="41" t="e">
        <f>D39</f>
        <v>#DIV/0!</v>
      </c>
      <c r="E42" s="41" t="e">
        <f>E39</f>
        <v>#DIV/0!</v>
      </c>
      <c r="F42" s="41" t="e">
        <f>F39</f>
        <v>#DIV/0!</v>
      </c>
      <c r="G42" s="41" t="e">
        <f>G39</f>
        <v>#DIV/0!</v>
      </c>
      <c r="H42" s="41" t="e">
        <f>H39</f>
        <v>#DIV/0!</v>
      </c>
      <c r="I42" s="42"/>
      <c r="J42" s="41" t="e">
        <f>J39</f>
        <v>#DIV/0!</v>
      </c>
      <c r="K42" s="41" t="e">
        <f>K39</f>
        <v>#DIV/0!</v>
      </c>
      <c r="L42" s="41" t="e">
        <f>L39</f>
        <v>#DIV/0!</v>
      </c>
      <c r="M42" s="41" t="e">
        <f>M39</f>
        <v>#DIV/0!</v>
      </c>
      <c r="N42" s="41" t="e">
        <f>N39</f>
        <v>#DIV/0!</v>
      </c>
    </row>
    <row r="43" spans="2:14" ht="15" customHeight="1" x14ac:dyDescent="0.2">
      <c r="B43" s="188" t="s">
        <v>94</v>
      </c>
      <c r="C43" s="189"/>
      <c r="D43" s="43" t="e">
        <f>($F$53*D41)+$G$53</f>
        <v>#DIV/0!</v>
      </c>
      <c r="E43" s="43" t="e">
        <f>($F$53*E41)+$G$53</f>
        <v>#DIV/0!</v>
      </c>
      <c r="F43" s="43" t="e">
        <f>($F$53*F41)+$G$53</f>
        <v>#DIV/0!</v>
      </c>
      <c r="G43" s="43" t="e">
        <f>($F$53*G41)+$G$53</f>
        <v>#DIV/0!</v>
      </c>
      <c r="H43" s="43" t="e">
        <f>($F$53*H41)+$G$53</f>
        <v>#DIV/0!</v>
      </c>
      <c r="I43" s="40"/>
      <c r="J43" s="43" t="e">
        <f>($L$53*J41)+$M$53</f>
        <v>#DIV/0!</v>
      </c>
      <c r="K43" s="43" t="e">
        <f>($F$53*K41)+$G$53</f>
        <v>#DIV/0!</v>
      </c>
      <c r="L43" s="43" t="e">
        <f>($F$53*L41)+$G$53</f>
        <v>#DIV/0!</v>
      </c>
      <c r="M43" s="43" t="e">
        <f>($F$53*M41)+$G$53</f>
        <v>#DIV/0!</v>
      </c>
      <c r="N43" s="43" t="e">
        <f>($F$53*N41)+$G$53</f>
        <v>#DIV/0!</v>
      </c>
    </row>
    <row r="44" spans="2:14" ht="15" customHeight="1" x14ac:dyDescent="0.2">
      <c r="B44" s="189" t="s">
        <v>126</v>
      </c>
      <c r="C44" s="190"/>
      <c r="D44" s="44" t="e">
        <f>+D43-($H$30*0.02)</f>
        <v>#DIV/0!</v>
      </c>
      <c r="E44" s="44" t="e">
        <f>+E43-($H$30*0.02)</f>
        <v>#DIV/0!</v>
      </c>
      <c r="F44" s="44" t="e">
        <f>+F43-($H$30*0.02)</f>
        <v>#DIV/0!</v>
      </c>
      <c r="G44" s="44" t="e">
        <f>+G43-($H$30*0.02)</f>
        <v>#DIV/0!</v>
      </c>
      <c r="H44" s="44" t="e">
        <f>+H43-($H$30*0.02)</f>
        <v>#DIV/0!</v>
      </c>
      <c r="I44" s="40"/>
      <c r="J44" s="44" t="e">
        <f>+J43-($H$30*0.02)</f>
        <v>#DIV/0!</v>
      </c>
      <c r="K44" s="44" t="e">
        <f>+K43-($H$30*0.02)</f>
        <v>#DIV/0!</v>
      </c>
      <c r="L44" s="44" t="e">
        <f>+L43-($H$30*0.02)</f>
        <v>#DIV/0!</v>
      </c>
      <c r="M44" s="44" t="e">
        <f>+M43-($H$30*0.02)</f>
        <v>#DIV/0!</v>
      </c>
      <c r="N44" s="44" t="e">
        <f>+N43-($H$30*0.02)</f>
        <v>#DIV/0!</v>
      </c>
    </row>
    <row r="45" spans="2:14" ht="15" customHeight="1" x14ac:dyDescent="0.2">
      <c r="B45" s="189" t="s">
        <v>127</v>
      </c>
      <c r="C45" s="190"/>
      <c r="D45" s="45" t="e">
        <f>+D43+($H$30*0.02)</f>
        <v>#DIV/0!</v>
      </c>
      <c r="E45" s="45" t="e">
        <f>+E43+($H$30*0.02)</f>
        <v>#DIV/0!</v>
      </c>
      <c r="F45" s="45" t="e">
        <f>+F43+($H$30*0.02)</f>
        <v>#DIV/0!</v>
      </c>
      <c r="G45" s="45" t="e">
        <f>+G43+($H$30*0.02)</f>
        <v>#DIV/0!</v>
      </c>
      <c r="H45" s="45" t="e">
        <f>+H43+($H$30*0.02)</f>
        <v>#DIV/0!</v>
      </c>
      <c r="I45" s="40"/>
      <c r="J45" s="45" t="e">
        <f>+J43+($H$30*0.02)</f>
        <v>#DIV/0!</v>
      </c>
      <c r="K45" s="45" t="e">
        <f>+K43+($H$30*0.02)</f>
        <v>#DIV/0!</v>
      </c>
      <c r="L45" s="45" t="e">
        <f>+L43+($H$30*0.02)</f>
        <v>#DIV/0!</v>
      </c>
      <c r="M45" s="45" t="e">
        <f>+M43+($H$30*0.02)</f>
        <v>#DIV/0!</v>
      </c>
      <c r="N45" s="45" t="e">
        <f>+N43+($H$30*0.02)</f>
        <v>#DIV/0!</v>
      </c>
    </row>
    <row r="46" spans="2:14" ht="15" customHeight="1" x14ac:dyDescent="0.2">
      <c r="B46" s="189" t="s">
        <v>67</v>
      </c>
      <c r="C46" s="190"/>
      <c r="D46" s="46" t="e">
        <f>+IF(D42&gt;D44,IF((D42&lt;D45),"CUMPLE","NO CUMPLE"),"NO CUMPLE")</f>
        <v>#DIV/0!</v>
      </c>
      <c r="E46" s="46" t="e">
        <f>+IF(E42&gt;E44,IF((E42&lt;E45),"CUMPLE","NO CUMPLE"),"NO CUMPLE")</f>
        <v>#DIV/0!</v>
      </c>
      <c r="F46" s="46" t="e">
        <f>+IF(F42&gt;F44,IF((F42&lt;F45),"CUMPLE","NO CUMPLE"),"NO CUMPLE")</f>
        <v>#DIV/0!</v>
      </c>
      <c r="G46" s="46" t="e">
        <f>+IF(G42&gt;G44,IF((G42&lt;G45),"CUMPLE","NO CUMPLE"),"NO CUMPLE")</f>
        <v>#DIV/0!</v>
      </c>
      <c r="H46" s="46" t="e">
        <f>+IF(H42&gt;H44,IF((H42&lt;H45),"CUMPLE","NO CUMPLE"),"NO CUMPLE")</f>
        <v>#DIV/0!</v>
      </c>
      <c r="I46" s="40"/>
      <c r="J46" s="46" t="e">
        <f>+IF(J42&gt;J44,IF((J42&lt;J45),"CUMPLE","NO CUMPLE"),"NO CUMPLE")</f>
        <v>#DIV/0!</v>
      </c>
      <c r="K46" s="46" t="e">
        <f>+IF(K42&gt;K44,IF((K42&lt;K45),"CUMPLE","NO CUMPLE"),"NO CUMPLE")</f>
        <v>#DIV/0!</v>
      </c>
      <c r="L46" s="46" t="e">
        <f>+IF(L42&gt;L44,IF((L42&lt;L45),"CUMPLE","NO CUMPLE"),"NO CUMPLE")</f>
        <v>#DIV/0!</v>
      </c>
      <c r="M46" s="46" t="e">
        <f>+IF(M42&gt;M44,IF((M42&lt;M45),"CUMPLE","NO CUMPLE"),"NO CUMPLE")</f>
        <v>#DIV/0!</v>
      </c>
      <c r="N46" s="46" t="e">
        <f>+IF(N42&gt;N44,IF((N42&lt;N45),"CUMPLE","NO CUMPLE"),"NO CUMPLE")</f>
        <v>#DIV/0!</v>
      </c>
    </row>
    <row r="47" spans="2:14" ht="14.25" x14ac:dyDescent="0.2">
      <c r="B47" s="193" t="s">
        <v>128</v>
      </c>
      <c r="C47" s="194"/>
      <c r="D47" s="194"/>
      <c r="E47" s="194"/>
      <c r="F47" s="194"/>
      <c r="G47" s="194"/>
      <c r="H47" s="194"/>
      <c r="I47" s="194"/>
      <c r="J47" s="194"/>
      <c r="K47" s="194"/>
      <c r="L47" s="194"/>
      <c r="M47" s="194"/>
      <c r="N47" s="195"/>
    </row>
    <row r="48" spans="2:14" ht="6" customHeight="1" x14ac:dyDescent="0.2">
      <c r="B48" s="47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9"/>
    </row>
    <row r="49" spans="2:14" x14ac:dyDescent="0.2">
      <c r="B49" s="189" t="s">
        <v>129</v>
      </c>
      <c r="C49" s="190"/>
      <c r="D49" s="50" t="s">
        <v>13</v>
      </c>
      <c r="E49" s="51" t="e">
        <f>+(E43-E42)/E43</f>
        <v>#DIV/0!</v>
      </c>
      <c r="F49" s="51" t="e">
        <f>+(F43-F42)/F43</f>
        <v>#DIV/0!</v>
      </c>
      <c r="G49" s="51" t="e">
        <f>+(G43-G42)/G43</f>
        <v>#DIV/0!</v>
      </c>
      <c r="H49" s="51" t="e">
        <f>+(H43-H42)/H43</f>
        <v>#DIV/0!</v>
      </c>
      <c r="I49" s="48"/>
      <c r="J49" s="51" t="s">
        <v>13</v>
      </c>
      <c r="K49" s="51" t="e">
        <f>+(K43-K42)/K43</f>
        <v>#DIV/0!</v>
      </c>
      <c r="L49" s="51" t="e">
        <f>+(L43-L42)/L43</f>
        <v>#DIV/0!</v>
      </c>
      <c r="M49" s="51" t="e">
        <f>+(M43-M42)/M43</f>
        <v>#DIV/0!</v>
      </c>
      <c r="N49" s="51" t="e">
        <f>+(N43-N42)/N43</f>
        <v>#DIV/0!</v>
      </c>
    </row>
    <row r="50" spans="2:14" ht="14.25" x14ac:dyDescent="0.2">
      <c r="B50" s="52" t="s">
        <v>130</v>
      </c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9"/>
    </row>
    <row r="51" spans="2:14" ht="5.0999999999999996" customHeight="1" x14ac:dyDescent="0.2">
      <c r="B51" s="47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9"/>
    </row>
    <row r="52" spans="2:14" ht="17.100000000000001" customHeight="1" x14ac:dyDescent="0.2">
      <c r="B52" s="18"/>
      <c r="C52" s="19"/>
      <c r="D52" s="19"/>
      <c r="E52" s="53" t="s">
        <v>131</v>
      </c>
      <c r="F52" s="53" t="s">
        <v>68</v>
      </c>
      <c r="G52" s="53" t="s">
        <v>69</v>
      </c>
      <c r="H52" s="19"/>
      <c r="I52" s="19"/>
      <c r="J52" s="19"/>
      <c r="K52" s="53" t="s">
        <v>131</v>
      </c>
      <c r="L52" s="53" t="s">
        <v>68</v>
      </c>
      <c r="M52" s="53" t="s">
        <v>69</v>
      </c>
      <c r="N52" s="54"/>
    </row>
    <row r="53" spans="2:14" ht="15.95" customHeight="1" x14ac:dyDescent="0.2">
      <c r="B53" s="18"/>
      <c r="C53" s="19"/>
      <c r="D53" s="19"/>
      <c r="E53" s="55" t="e">
        <f>CORREL(D42:H42,D41:H41)</f>
        <v>#DIV/0!</v>
      </c>
      <c r="F53" s="55" t="e">
        <f>SLOPE(D42:H42,D41:H41)</f>
        <v>#DIV/0!</v>
      </c>
      <c r="G53" s="55" t="e">
        <f xml:space="preserve"> INTERCEPT(D42:H42,D41:H41)</f>
        <v>#DIV/0!</v>
      </c>
      <c r="H53" s="19"/>
      <c r="I53" s="19"/>
      <c r="J53" s="19"/>
      <c r="K53" s="55" t="e">
        <f>CORREL(J42:N42,J41:N41)</f>
        <v>#DIV/0!</v>
      </c>
      <c r="L53" s="55" t="e">
        <f>SLOPE(J42:N42,J41:N41)</f>
        <v>#DIV/0!</v>
      </c>
      <c r="M53" s="55" t="e">
        <f xml:space="preserve"> INTERCEPT(J42:N42,J41:N41)</f>
        <v>#DIV/0!</v>
      </c>
      <c r="N53" s="54"/>
    </row>
    <row r="54" spans="2:14" ht="5.0999999999999996" customHeight="1" x14ac:dyDescent="0.2">
      <c r="B54" s="110"/>
      <c r="C54" s="196"/>
      <c r="D54" s="196"/>
      <c r="E54" s="196"/>
      <c r="F54" s="196"/>
      <c r="G54" s="196"/>
      <c r="H54" s="196"/>
      <c r="I54" s="196"/>
      <c r="J54" s="196"/>
      <c r="K54" s="196"/>
      <c r="L54" s="196"/>
      <c r="M54" s="196"/>
      <c r="N54" s="111"/>
    </row>
    <row r="55" spans="2:14" ht="5.0999999999999996" customHeight="1" x14ac:dyDescent="0.2">
      <c r="B55" s="108"/>
      <c r="C55" s="170"/>
      <c r="D55" s="170"/>
      <c r="E55" s="170"/>
      <c r="F55" s="170"/>
      <c r="G55" s="170"/>
      <c r="H55" s="170"/>
      <c r="I55" s="170"/>
      <c r="J55" s="170"/>
      <c r="K55" s="170"/>
      <c r="L55" s="170"/>
      <c r="M55" s="170"/>
      <c r="N55" s="109"/>
    </row>
    <row r="56" spans="2:14" ht="15" customHeight="1" x14ac:dyDescent="0.2">
      <c r="B56" s="191"/>
      <c r="C56" s="192"/>
      <c r="D56" s="112" t="s">
        <v>125</v>
      </c>
      <c r="E56" s="113"/>
      <c r="F56" s="113"/>
      <c r="G56" s="113"/>
      <c r="H56" s="113"/>
      <c r="I56" s="113"/>
      <c r="J56" s="113"/>
      <c r="K56" s="113"/>
      <c r="L56" s="114"/>
      <c r="M56" s="121" t="s">
        <v>93</v>
      </c>
      <c r="N56" s="122"/>
    </row>
    <row r="57" spans="2:14" ht="15" customHeight="1" x14ac:dyDescent="0.2">
      <c r="B57" s="191"/>
      <c r="C57" s="192"/>
      <c r="D57" s="115"/>
      <c r="E57" s="116"/>
      <c r="F57" s="116"/>
      <c r="G57" s="116"/>
      <c r="H57" s="116"/>
      <c r="I57" s="116"/>
      <c r="J57" s="116"/>
      <c r="K57" s="116"/>
      <c r="L57" s="117"/>
      <c r="M57" s="123" t="s">
        <v>135</v>
      </c>
      <c r="N57" s="124"/>
    </row>
    <row r="58" spans="2:14" ht="15" customHeight="1" x14ac:dyDescent="0.2">
      <c r="B58" s="191"/>
      <c r="C58" s="192"/>
      <c r="D58" s="115"/>
      <c r="E58" s="116"/>
      <c r="F58" s="116"/>
      <c r="G58" s="116"/>
      <c r="H58" s="116"/>
      <c r="I58" s="116"/>
      <c r="J58" s="116"/>
      <c r="K58" s="116"/>
      <c r="L58" s="117"/>
      <c r="M58" s="125" t="s">
        <v>134</v>
      </c>
      <c r="N58" s="126"/>
    </row>
    <row r="59" spans="2:14" ht="15" customHeight="1" x14ac:dyDescent="0.2">
      <c r="B59" s="191"/>
      <c r="C59" s="192"/>
      <c r="D59" s="118"/>
      <c r="E59" s="119"/>
      <c r="F59" s="119"/>
      <c r="G59" s="119"/>
      <c r="H59" s="119"/>
      <c r="I59" s="119"/>
      <c r="J59" s="119"/>
      <c r="K59" s="119"/>
      <c r="L59" s="120"/>
      <c r="M59" s="127" t="s">
        <v>92</v>
      </c>
      <c r="N59" s="128"/>
    </row>
    <row r="60" spans="2:14" ht="5.0999999999999996" customHeight="1" x14ac:dyDescent="0.2">
      <c r="B60" s="47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9"/>
    </row>
    <row r="61" spans="2:14" ht="18" customHeight="1" x14ac:dyDescent="0.2">
      <c r="B61" s="167" t="s">
        <v>91</v>
      </c>
      <c r="C61" s="168"/>
      <c r="D61" s="168"/>
      <c r="E61" s="168"/>
      <c r="F61" s="168"/>
      <c r="G61" s="168"/>
      <c r="H61" s="168"/>
      <c r="I61" s="168"/>
      <c r="J61" s="168"/>
      <c r="K61" s="168"/>
      <c r="L61" s="168"/>
      <c r="M61" s="168"/>
      <c r="N61" s="169"/>
    </row>
    <row r="62" spans="2:14" ht="19.5" customHeight="1" x14ac:dyDescent="0.2">
      <c r="B62" s="198" t="s">
        <v>90</v>
      </c>
      <c r="C62" s="199"/>
      <c r="D62" s="199"/>
      <c r="E62" s="199"/>
      <c r="F62" s="199"/>
      <c r="G62" s="199"/>
      <c r="H62" s="199" t="s">
        <v>89</v>
      </c>
      <c r="I62" s="199"/>
      <c r="J62" s="199"/>
      <c r="K62" s="199"/>
      <c r="L62" s="199"/>
      <c r="M62" s="199"/>
      <c r="N62" s="200"/>
    </row>
    <row r="63" spans="2:14" ht="19.5" customHeight="1" x14ac:dyDescent="0.2">
      <c r="B63" s="18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22"/>
    </row>
    <row r="64" spans="2:14" ht="19.5" customHeight="1" x14ac:dyDescent="0.2">
      <c r="B64" s="18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22"/>
    </row>
    <row r="65" spans="2:14" ht="19.5" customHeight="1" x14ac:dyDescent="0.2">
      <c r="B65" s="18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22"/>
    </row>
    <row r="66" spans="2:14" ht="19.5" customHeight="1" x14ac:dyDescent="0.2">
      <c r="B66" s="18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22"/>
    </row>
    <row r="67" spans="2:14" ht="19.5" customHeight="1" x14ac:dyDescent="0.2">
      <c r="B67" s="18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22"/>
    </row>
    <row r="68" spans="2:14" ht="19.5" customHeight="1" x14ac:dyDescent="0.2">
      <c r="B68" s="18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22"/>
    </row>
    <row r="69" spans="2:14" ht="19.5" customHeight="1" x14ac:dyDescent="0.2">
      <c r="B69" s="18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22"/>
    </row>
    <row r="70" spans="2:14" ht="19.5" customHeight="1" x14ac:dyDescent="0.2">
      <c r="B70" s="18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22"/>
    </row>
    <row r="71" spans="2:14" ht="19.5" customHeight="1" x14ac:dyDescent="0.2">
      <c r="B71" s="18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22"/>
    </row>
    <row r="72" spans="2:14" ht="19.5" customHeight="1" x14ac:dyDescent="0.2">
      <c r="B72" s="18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22"/>
    </row>
    <row r="73" spans="2:14" ht="9.75" customHeight="1" x14ac:dyDescent="0.2">
      <c r="B73" s="18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22"/>
    </row>
    <row r="74" spans="2:14" ht="19.5" customHeight="1" x14ac:dyDescent="0.2">
      <c r="B74" s="18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22"/>
    </row>
    <row r="75" spans="2:14" ht="19.5" customHeight="1" x14ac:dyDescent="0.2">
      <c r="B75" s="18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22"/>
    </row>
    <row r="76" spans="2:14" ht="19.5" customHeight="1" x14ac:dyDescent="0.2">
      <c r="B76" s="18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22"/>
    </row>
    <row r="77" spans="2:14" ht="19.5" customHeight="1" x14ac:dyDescent="0.2">
      <c r="B77" s="18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22"/>
    </row>
    <row r="78" spans="2:14" ht="19.5" customHeight="1" x14ac:dyDescent="0.2">
      <c r="B78" s="18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22"/>
    </row>
    <row r="79" spans="2:14" ht="9.4" customHeight="1" x14ac:dyDescent="0.2">
      <c r="B79" s="23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56"/>
    </row>
    <row r="80" spans="2:14" ht="5.0999999999999996" customHeight="1" x14ac:dyDescent="0.2"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</row>
    <row r="81" spans="2:14" ht="18" customHeight="1" x14ac:dyDescent="0.2">
      <c r="B81" s="167" t="s">
        <v>26</v>
      </c>
      <c r="C81" s="168"/>
      <c r="D81" s="168"/>
      <c r="E81" s="168"/>
      <c r="F81" s="168"/>
      <c r="G81" s="168"/>
      <c r="H81" s="168"/>
      <c r="I81" s="168"/>
      <c r="J81" s="168"/>
      <c r="K81" s="168"/>
      <c r="L81" s="168"/>
      <c r="M81" s="168"/>
      <c r="N81" s="169"/>
    </row>
    <row r="82" spans="2:14" ht="5.0999999999999996" customHeight="1" x14ac:dyDescent="0.2">
      <c r="B82" s="15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7"/>
    </row>
    <row r="83" spans="2:14" ht="15" customHeight="1" x14ac:dyDescent="0.2">
      <c r="B83" s="18"/>
      <c r="C83" s="19"/>
      <c r="D83" s="19"/>
      <c r="E83" s="201" t="str">
        <f>+CONCATENATE("Concentración Patrón ","[",$M$9,"]")</f>
        <v>Concentración Patrón [ppb]</v>
      </c>
      <c r="F83" s="202"/>
      <c r="G83" s="205" t="str">
        <f>+CONCATENATE("Respuesta analizador ","[",$M$9,"]")</f>
        <v>Respuesta analizador [ppb]</v>
      </c>
      <c r="H83" s="206"/>
      <c r="I83" s="207"/>
      <c r="J83" s="173" t="s">
        <v>28</v>
      </c>
      <c r="K83" s="173"/>
      <c r="L83" s="211" t="s">
        <v>132</v>
      </c>
      <c r="M83" s="19"/>
      <c r="N83" s="21"/>
    </row>
    <row r="84" spans="2:14" ht="15" customHeight="1" x14ac:dyDescent="0.2">
      <c r="B84" s="18"/>
      <c r="C84" s="19"/>
      <c r="D84" s="19"/>
      <c r="E84" s="203"/>
      <c r="F84" s="204"/>
      <c r="G84" s="208"/>
      <c r="H84" s="209"/>
      <c r="I84" s="210"/>
      <c r="J84" s="57" t="str">
        <f>+CONCATENATE("Abs. ","[",$M$9,"]")</f>
        <v>Abs. [ppb]</v>
      </c>
      <c r="K84" s="57" t="s">
        <v>29</v>
      </c>
      <c r="L84" s="212"/>
      <c r="M84" s="19"/>
      <c r="N84" s="21"/>
    </row>
    <row r="85" spans="2:14" ht="15" customHeight="1" x14ac:dyDescent="0.25">
      <c r="B85" s="18"/>
      <c r="C85" s="172" t="s">
        <v>23</v>
      </c>
      <c r="D85" s="172"/>
      <c r="E85" s="174">
        <v>0</v>
      </c>
      <c r="F85" s="174"/>
      <c r="G85" s="175"/>
      <c r="H85" s="175"/>
      <c r="I85" s="175"/>
      <c r="J85" s="58" t="str">
        <f>IF(ISBLANK(G85),"-",ABS(E85-G85))</f>
        <v>-</v>
      </c>
      <c r="K85" s="59" t="str">
        <f>+IFERROR(((E85-G85)/E85),"-")</f>
        <v>-</v>
      </c>
      <c r="L85" s="60" t="s">
        <v>87</v>
      </c>
      <c r="M85" s="19"/>
      <c r="N85" s="22"/>
    </row>
    <row r="86" spans="2:14" ht="15" customHeight="1" x14ac:dyDescent="0.25">
      <c r="B86" s="18"/>
      <c r="C86" s="172" t="s">
        <v>24</v>
      </c>
      <c r="D86" s="172"/>
      <c r="E86" s="197">
        <f>+H10*0.8</f>
        <v>0</v>
      </c>
      <c r="F86" s="197"/>
      <c r="G86" s="175"/>
      <c r="H86" s="175"/>
      <c r="I86" s="175"/>
      <c r="J86" s="58" t="str">
        <f>IF(ISBLANK(G86),"-",ABS(E86-G86))</f>
        <v>-</v>
      </c>
      <c r="K86" s="59" t="str">
        <f>+IF(ISBLANK(G86),"-",(E86-G86)/E86)</f>
        <v>-</v>
      </c>
      <c r="L86" s="60" t="s">
        <v>87</v>
      </c>
      <c r="M86" s="19"/>
      <c r="N86" s="22"/>
    </row>
    <row r="87" spans="2:14" ht="15" customHeight="1" x14ac:dyDescent="0.25">
      <c r="B87" s="18"/>
      <c r="C87" s="172" t="s">
        <v>88</v>
      </c>
      <c r="D87" s="172"/>
      <c r="E87" s="197">
        <v>70</v>
      </c>
      <c r="F87" s="197"/>
      <c r="G87" s="175"/>
      <c r="H87" s="175"/>
      <c r="I87" s="175"/>
      <c r="J87" s="58" t="str">
        <f>IF(ISBLANK(G87),"-",ABS(E87-G87))</f>
        <v>-</v>
      </c>
      <c r="K87" s="59" t="str">
        <f>+IF(ISBLANK(G87),"-",(E87-G87)/E87)</f>
        <v>-</v>
      </c>
      <c r="L87" s="60" t="s">
        <v>87</v>
      </c>
      <c r="M87" s="19"/>
      <c r="N87" s="22"/>
    </row>
    <row r="88" spans="2:14" ht="15" customHeight="1" x14ac:dyDescent="0.25">
      <c r="B88" s="18"/>
      <c r="C88" s="61" t="s">
        <v>133</v>
      </c>
      <c r="D88" s="62"/>
      <c r="E88" s="62"/>
      <c r="F88" s="62"/>
      <c r="G88" s="63"/>
      <c r="H88" s="63"/>
      <c r="I88" s="63"/>
      <c r="J88" s="64"/>
      <c r="K88" s="65"/>
      <c r="L88" s="66"/>
      <c r="M88" s="19"/>
      <c r="N88" s="22"/>
    </row>
    <row r="89" spans="2:14" ht="5.0999999999999996" customHeight="1" x14ac:dyDescent="0.2">
      <c r="B89" s="23"/>
      <c r="C89" s="24"/>
      <c r="D89" s="24"/>
      <c r="E89" s="24"/>
      <c r="F89" s="25"/>
      <c r="G89" s="24"/>
      <c r="H89" s="24"/>
      <c r="I89" s="24"/>
      <c r="J89" s="24"/>
      <c r="K89" s="24"/>
      <c r="L89" s="24"/>
      <c r="M89" s="25"/>
      <c r="N89" s="26"/>
    </row>
    <row r="90" spans="2:14" ht="5.0999999999999996" customHeight="1" x14ac:dyDescent="0.2"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</row>
    <row r="91" spans="2:14" ht="18" customHeight="1" x14ac:dyDescent="0.2">
      <c r="B91" s="167" t="s">
        <v>30</v>
      </c>
      <c r="C91" s="168"/>
      <c r="D91" s="168"/>
      <c r="E91" s="168"/>
      <c r="F91" s="168"/>
      <c r="G91" s="168"/>
      <c r="H91" s="168"/>
      <c r="I91" s="168"/>
      <c r="J91" s="168"/>
      <c r="K91" s="168"/>
      <c r="L91" s="168"/>
      <c r="M91" s="168"/>
      <c r="N91" s="169"/>
    </row>
    <row r="92" spans="2:14" ht="5.0999999999999996" customHeight="1" x14ac:dyDescent="0.2">
      <c r="B92" s="18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22"/>
    </row>
    <row r="93" spans="2:14" ht="15" customHeight="1" x14ac:dyDescent="0.2">
      <c r="B93" s="216" t="s">
        <v>81</v>
      </c>
      <c r="C93" s="216"/>
      <c r="D93" s="216"/>
      <c r="E93" s="216"/>
      <c r="F93" s="216"/>
      <c r="G93" s="216"/>
      <c r="H93" s="216"/>
      <c r="I93" s="216"/>
      <c r="J93" s="216"/>
      <c r="K93" s="216"/>
      <c r="L93" s="216"/>
      <c r="M93" s="216"/>
      <c r="N93" s="216"/>
    </row>
    <row r="94" spans="2:14" ht="15" customHeight="1" x14ac:dyDescent="0.2">
      <c r="B94" s="67" t="s">
        <v>77</v>
      </c>
      <c r="C94" s="217" t="s">
        <v>79</v>
      </c>
      <c r="D94" s="217"/>
      <c r="E94" s="217"/>
      <c r="F94" s="144" t="s">
        <v>8</v>
      </c>
      <c r="G94" s="144"/>
      <c r="H94" s="145" t="s">
        <v>122</v>
      </c>
      <c r="I94" s="145"/>
      <c r="J94" s="192" t="s">
        <v>78</v>
      </c>
      <c r="K94" s="218"/>
      <c r="L94" s="145"/>
      <c r="M94" s="145"/>
      <c r="N94" s="145"/>
    </row>
    <row r="95" spans="2:14" ht="15" customHeight="1" x14ac:dyDescent="0.2">
      <c r="B95" s="68" t="s">
        <v>10</v>
      </c>
      <c r="C95" s="223" t="s">
        <v>80</v>
      </c>
      <c r="D95" s="224"/>
      <c r="E95" s="225" t="s">
        <v>82</v>
      </c>
      <c r="F95" s="226"/>
      <c r="G95" s="227"/>
      <c r="H95" s="228" t="s">
        <v>121</v>
      </c>
      <c r="I95" s="229"/>
      <c r="J95" s="230" t="s">
        <v>86</v>
      </c>
      <c r="K95" s="230"/>
      <c r="L95" s="213"/>
      <c r="M95" s="213"/>
      <c r="N95" s="213"/>
    </row>
    <row r="96" spans="2:14" ht="5.0999999999999996" customHeight="1" x14ac:dyDescent="0.2">
      <c r="B96" s="18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22"/>
    </row>
    <row r="97" spans="2:14" s="3" customFormat="1" ht="15" customHeight="1" x14ac:dyDescent="0.25">
      <c r="B97" s="69"/>
      <c r="C97" s="70" t="s">
        <v>36</v>
      </c>
      <c r="D97" s="70" t="s">
        <v>37</v>
      </c>
      <c r="E97" s="70" t="s">
        <v>38</v>
      </c>
      <c r="F97" s="70" t="s">
        <v>39</v>
      </c>
      <c r="G97" s="70" t="s">
        <v>40</v>
      </c>
      <c r="H97" s="70" t="s">
        <v>41</v>
      </c>
      <c r="I97" s="214" t="s">
        <v>42</v>
      </c>
      <c r="J97" s="215"/>
      <c r="K97" s="70" t="s">
        <v>43</v>
      </c>
      <c r="L97" s="70" t="s">
        <v>44</v>
      </c>
      <c r="M97" s="70" t="s">
        <v>45</v>
      </c>
      <c r="N97" s="70" t="s">
        <v>46</v>
      </c>
    </row>
    <row r="98" spans="2:14" s="3" customFormat="1" ht="15" customHeight="1" x14ac:dyDescent="0.25">
      <c r="B98" s="71" t="s">
        <v>32</v>
      </c>
      <c r="C98" s="72"/>
      <c r="D98" s="73"/>
      <c r="E98" s="73"/>
      <c r="F98" s="73"/>
      <c r="G98" s="73"/>
      <c r="H98" s="73"/>
      <c r="I98" s="219"/>
      <c r="J98" s="220"/>
      <c r="K98" s="73"/>
      <c r="L98" s="73"/>
      <c r="M98" s="73"/>
      <c r="N98" s="73"/>
    </row>
    <row r="99" spans="2:14" ht="15" customHeight="1" x14ac:dyDescent="0.2">
      <c r="B99" s="71" t="s">
        <v>33</v>
      </c>
      <c r="C99" s="74"/>
      <c r="D99" s="74"/>
      <c r="E99" s="74"/>
      <c r="F99" s="74"/>
      <c r="G99" s="74"/>
      <c r="H99" s="74"/>
      <c r="I99" s="221"/>
      <c r="J99" s="222"/>
      <c r="K99" s="74"/>
      <c r="L99" s="74"/>
      <c r="M99" s="74"/>
      <c r="N99" s="74"/>
    </row>
    <row r="100" spans="2:14" ht="15" customHeight="1" x14ac:dyDescent="0.2">
      <c r="B100" s="71" t="s">
        <v>34</v>
      </c>
      <c r="C100" s="74"/>
      <c r="D100" s="74"/>
      <c r="E100" s="74"/>
      <c r="F100" s="74"/>
      <c r="G100" s="74"/>
      <c r="H100" s="74"/>
      <c r="I100" s="221"/>
      <c r="J100" s="222"/>
      <c r="K100" s="74"/>
      <c r="L100" s="74"/>
      <c r="M100" s="74"/>
      <c r="N100" s="74"/>
    </row>
    <row r="101" spans="2:14" ht="15" customHeight="1" x14ac:dyDescent="0.2">
      <c r="B101" s="71" t="s">
        <v>83</v>
      </c>
      <c r="C101" s="74"/>
      <c r="D101" s="74"/>
      <c r="E101" s="74"/>
      <c r="F101" s="74"/>
      <c r="G101" s="74"/>
      <c r="H101" s="74"/>
      <c r="I101" s="221"/>
      <c r="J101" s="222"/>
      <c r="K101" s="74"/>
      <c r="L101" s="74"/>
      <c r="M101" s="74"/>
      <c r="N101" s="74"/>
    </row>
    <row r="102" spans="2:14" ht="15" customHeight="1" x14ac:dyDescent="0.2">
      <c r="B102" s="71" t="s">
        <v>35</v>
      </c>
      <c r="C102" s="75" t="str">
        <f t="shared" ref="C102" si="0">+IF(C101&gt;-1,IF((C101&lt;1.6),"CUMPLE","NO CUMPLE"),"NO CUMPLE")</f>
        <v>CUMPLE</v>
      </c>
      <c r="D102" s="75"/>
      <c r="E102" s="75"/>
      <c r="F102" s="75"/>
      <c r="G102" s="75"/>
      <c r="H102" s="75"/>
      <c r="I102" s="231"/>
      <c r="J102" s="232"/>
      <c r="K102" s="75"/>
      <c r="L102" s="75"/>
      <c r="M102" s="75"/>
      <c r="N102" s="75"/>
    </row>
    <row r="103" spans="2:14" ht="15" customHeight="1" x14ac:dyDescent="0.2">
      <c r="B103" s="18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22"/>
    </row>
    <row r="104" spans="2:14" ht="15" customHeight="1" x14ac:dyDescent="0.2">
      <c r="B104" s="69"/>
      <c r="C104" s="70" t="s">
        <v>47</v>
      </c>
      <c r="D104" s="70" t="s">
        <v>48</v>
      </c>
      <c r="E104" s="70" t="s">
        <v>49</v>
      </c>
      <c r="F104" s="70" t="s">
        <v>50</v>
      </c>
      <c r="G104" s="70" t="s">
        <v>51</v>
      </c>
      <c r="H104" s="70" t="s">
        <v>52</v>
      </c>
      <c r="I104" s="214" t="s">
        <v>53</v>
      </c>
      <c r="J104" s="215"/>
      <c r="K104" s="70" t="s">
        <v>54</v>
      </c>
      <c r="L104" s="70" t="s">
        <v>55</v>
      </c>
      <c r="M104" s="70" t="s">
        <v>56</v>
      </c>
      <c r="N104" s="70" t="s">
        <v>57</v>
      </c>
    </row>
    <row r="105" spans="2:14" ht="15" customHeight="1" x14ac:dyDescent="0.2">
      <c r="B105" s="71" t="s">
        <v>32</v>
      </c>
      <c r="C105" s="72"/>
      <c r="D105" s="73"/>
      <c r="E105" s="73"/>
      <c r="F105" s="73"/>
      <c r="G105" s="73"/>
      <c r="H105" s="73"/>
      <c r="I105" s="219"/>
      <c r="J105" s="220"/>
      <c r="K105" s="76"/>
      <c r="L105" s="76"/>
      <c r="M105" s="76"/>
      <c r="N105" s="76"/>
    </row>
    <row r="106" spans="2:14" ht="15" customHeight="1" x14ac:dyDescent="0.2">
      <c r="B106" s="71" t="s">
        <v>33</v>
      </c>
      <c r="C106" s="74"/>
      <c r="D106" s="74"/>
      <c r="E106" s="74"/>
      <c r="F106" s="74"/>
      <c r="G106" s="74"/>
      <c r="H106" s="74"/>
      <c r="I106" s="235"/>
      <c r="J106" s="236"/>
      <c r="K106" s="76"/>
      <c r="L106" s="76"/>
      <c r="M106" s="76"/>
      <c r="N106" s="76"/>
    </row>
    <row r="107" spans="2:14" ht="15" customHeight="1" x14ac:dyDescent="0.2">
      <c r="B107" s="71" t="s">
        <v>34</v>
      </c>
      <c r="C107" s="74"/>
      <c r="D107" s="74"/>
      <c r="E107" s="74"/>
      <c r="F107" s="74"/>
      <c r="G107" s="74"/>
      <c r="H107" s="74"/>
      <c r="I107" s="235"/>
      <c r="J107" s="236"/>
      <c r="K107" s="76"/>
      <c r="L107" s="76"/>
      <c r="M107" s="76"/>
      <c r="N107" s="76"/>
    </row>
    <row r="108" spans="2:14" ht="15" customHeight="1" x14ac:dyDescent="0.2">
      <c r="B108" s="71" t="s">
        <v>83</v>
      </c>
      <c r="C108" s="74"/>
      <c r="D108" s="74"/>
      <c r="E108" s="74"/>
      <c r="F108" s="74"/>
      <c r="G108" s="74"/>
      <c r="H108" s="74"/>
      <c r="I108" s="235"/>
      <c r="J108" s="236"/>
      <c r="K108" s="76"/>
      <c r="L108" s="76"/>
      <c r="M108" s="76"/>
      <c r="N108" s="76"/>
    </row>
    <row r="109" spans="2:14" ht="15" customHeight="1" x14ac:dyDescent="0.2">
      <c r="B109" s="71" t="s">
        <v>35</v>
      </c>
      <c r="C109" s="75"/>
      <c r="D109" s="75"/>
      <c r="E109" s="75"/>
      <c r="F109" s="75"/>
      <c r="G109" s="75"/>
      <c r="H109" s="75"/>
      <c r="I109" s="231"/>
      <c r="J109" s="232"/>
      <c r="K109" s="76"/>
      <c r="L109" s="76"/>
      <c r="M109" s="76"/>
      <c r="N109" s="76"/>
    </row>
    <row r="110" spans="2:14" ht="15" customHeight="1" x14ac:dyDescent="0.2">
      <c r="B110" s="18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22"/>
    </row>
    <row r="111" spans="2:14" ht="15" customHeight="1" x14ac:dyDescent="0.2">
      <c r="B111" s="69"/>
      <c r="C111" s="70" t="s">
        <v>58</v>
      </c>
      <c r="D111" s="70" t="s">
        <v>59</v>
      </c>
      <c r="E111" s="70" t="s">
        <v>60</v>
      </c>
      <c r="F111" s="70" t="s">
        <v>61</v>
      </c>
      <c r="G111" s="70" t="s">
        <v>62</v>
      </c>
      <c r="H111" s="70" t="s">
        <v>63</v>
      </c>
      <c r="I111" s="214" t="s">
        <v>64</v>
      </c>
      <c r="J111" s="215"/>
      <c r="K111" s="70" t="s">
        <v>65</v>
      </c>
      <c r="L111" s="70" t="s">
        <v>66</v>
      </c>
      <c r="M111" s="77"/>
      <c r="N111" s="78"/>
    </row>
    <row r="112" spans="2:14" ht="15" customHeight="1" x14ac:dyDescent="0.2">
      <c r="B112" s="71" t="s">
        <v>32</v>
      </c>
      <c r="C112" s="76"/>
      <c r="D112" s="76"/>
      <c r="E112" s="76"/>
      <c r="F112" s="76"/>
      <c r="G112" s="76"/>
      <c r="H112" s="76"/>
      <c r="I112" s="79"/>
      <c r="J112" s="80"/>
      <c r="K112" s="76"/>
      <c r="L112" s="76"/>
      <c r="M112" s="77"/>
      <c r="N112" s="78"/>
    </row>
    <row r="113" spans="2:14" ht="15" customHeight="1" x14ac:dyDescent="0.2">
      <c r="B113" s="71" t="s">
        <v>33</v>
      </c>
      <c r="C113" s="76"/>
      <c r="D113" s="76"/>
      <c r="E113" s="76"/>
      <c r="F113" s="76"/>
      <c r="G113" s="76"/>
      <c r="H113" s="76"/>
      <c r="I113" s="233"/>
      <c r="J113" s="234"/>
      <c r="K113" s="76"/>
      <c r="L113" s="76"/>
      <c r="M113" s="77"/>
      <c r="N113" s="78"/>
    </row>
    <row r="114" spans="2:14" ht="15" customHeight="1" x14ac:dyDescent="0.2">
      <c r="B114" s="71" t="s">
        <v>34</v>
      </c>
      <c r="C114" s="76"/>
      <c r="D114" s="76"/>
      <c r="E114" s="76"/>
      <c r="F114" s="76"/>
      <c r="G114" s="76"/>
      <c r="H114" s="76"/>
      <c r="I114" s="233"/>
      <c r="J114" s="234"/>
      <c r="K114" s="76"/>
      <c r="L114" s="76"/>
      <c r="M114" s="77"/>
      <c r="N114" s="78"/>
    </row>
    <row r="115" spans="2:14" ht="15" customHeight="1" x14ac:dyDescent="0.2">
      <c r="B115" s="71" t="s">
        <v>83</v>
      </c>
      <c r="C115" s="76"/>
      <c r="D115" s="76"/>
      <c r="E115" s="76"/>
      <c r="F115" s="76"/>
      <c r="G115" s="76"/>
      <c r="H115" s="76"/>
      <c r="I115" s="233"/>
      <c r="J115" s="234"/>
      <c r="K115" s="76"/>
      <c r="L115" s="76"/>
      <c r="M115" s="77"/>
      <c r="N115" s="78"/>
    </row>
    <row r="116" spans="2:14" ht="15" customHeight="1" x14ac:dyDescent="0.2">
      <c r="B116" s="71" t="s">
        <v>35</v>
      </c>
      <c r="C116" s="76"/>
      <c r="D116" s="76"/>
      <c r="E116" s="76"/>
      <c r="F116" s="76"/>
      <c r="G116" s="76"/>
      <c r="H116" s="76"/>
      <c r="I116" s="233"/>
      <c r="J116" s="234"/>
      <c r="K116" s="76"/>
      <c r="L116" s="76"/>
      <c r="M116" s="77"/>
      <c r="N116" s="78"/>
    </row>
    <row r="117" spans="2:14" ht="5.0999999999999996" customHeight="1" x14ac:dyDescent="0.2">
      <c r="B117" s="23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56"/>
    </row>
    <row r="118" spans="2:14" ht="18" customHeight="1" x14ac:dyDescent="0.2">
      <c r="B118" s="167" t="s">
        <v>31</v>
      </c>
      <c r="C118" s="168"/>
      <c r="D118" s="168"/>
      <c r="E118" s="168"/>
      <c r="F118" s="168"/>
      <c r="G118" s="168"/>
      <c r="H118" s="168"/>
      <c r="I118" s="168"/>
      <c r="J118" s="168"/>
      <c r="K118" s="168"/>
      <c r="L118" s="168"/>
      <c r="M118" s="168"/>
      <c r="N118" s="169"/>
    </row>
    <row r="119" spans="2:14" x14ac:dyDescent="0.2">
      <c r="B119" s="81"/>
      <c r="C119" s="82"/>
      <c r="D119" s="82"/>
      <c r="E119" s="82"/>
      <c r="F119" s="82"/>
      <c r="G119" s="82"/>
      <c r="H119" s="82"/>
      <c r="I119" s="82"/>
      <c r="J119" s="82"/>
      <c r="K119" s="82"/>
      <c r="L119" s="82"/>
      <c r="M119" s="82"/>
      <c r="N119" s="83"/>
    </row>
    <row r="120" spans="2:14" x14ac:dyDescent="0.2">
      <c r="B120" s="84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6"/>
    </row>
    <row r="121" spans="2:14" x14ac:dyDescent="0.2">
      <c r="B121" s="87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6"/>
    </row>
    <row r="122" spans="2:14" x14ac:dyDescent="0.2">
      <c r="B122" s="87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6"/>
    </row>
    <row r="123" spans="2:14" x14ac:dyDescent="0.2">
      <c r="B123" s="88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90"/>
    </row>
  </sheetData>
  <mergeCells count="144">
    <mergeCell ref="I115:J115"/>
    <mergeCell ref="I116:J116"/>
    <mergeCell ref="B118:N118"/>
    <mergeCell ref="I106:J106"/>
    <mergeCell ref="I107:J107"/>
    <mergeCell ref="I108:J108"/>
    <mergeCell ref="I111:J111"/>
    <mergeCell ref="I113:J113"/>
    <mergeCell ref="I114:J114"/>
    <mergeCell ref="I109:J109"/>
    <mergeCell ref="I98:J98"/>
    <mergeCell ref="I99:J99"/>
    <mergeCell ref="I100:J100"/>
    <mergeCell ref="I101:J101"/>
    <mergeCell ref="I104:J104"/>
    <mergeCell ref="I105:J105"/>
    <mergeCell ref="C95:D95"/>
    <mergeCell ref="E95:G95"/>
    <mergeCell ref="H95:I95"/>
    <mergeCell ref="J95:K95"/>
    <mergeCell ref="I102:J102"/>
    <mergeCell ref="L95:N95"/>
    <mergeCell ref="I97:J97"/>
    <mergeCell ref="C87:D87"/>
    <mergeCell ref="E87:F87"/>
    <mergeCell ref="G87:I87"/>
    <mergeCell ref="B91:N91"/>
    <mergeCell ref="B93:N93"/>
    <mergeCell ref="C94:E94"/>
    <mergeCell ref="F94:G94"/>
    <mergeCell ref="H94:I94"/>
    <mergeCell ref="J94:K94"/>
    <mergeCell ref="L94:N94"/>
    <mergeCell ref="C85:D85"/>
    <mergeCell ref="E85:F85"/>
    <mergeCell ref="G85:I85"/>
    <mergeCell ref="C86:D86"/>
    <mergeCell ref="E86:F86"/>
    <mergeCell ref="G86:I86"/>
    <mergeCell ref="B61:N61"/>
    <mergeCell ref="B62:G62"/>
    <mergeCell ref="H62:N62"/>
    <mergeCell ref="B81:N81"/>
    <mergeCell ref="E83:F84"/>
    <mergeCell ref="G83:I84"/>
    <mergeCell ref="J83:K83"/>
    <mergeCell ref="L83:L84"/>
    <mergeCell ref="B56:C59"/>
    <mergeCell ref="D56:L59"/>
    <mergeCell ref="M56:N56"/>
    <mergeCell ref="M57:N57"/>
    <mergeCell ref="M58:N58"/>
    <mergeCell ref="M59:N59"/>
    <mergeCell ref="B45:C45"/>
    <mergeCell ref="B46:C46"/>
    <mergeCell ref="B47:N47"/>
    <mergeCell ref="B49:C49"/>
    <mergeCell ref="B54:N54"/>
    <mergeCell ref="B55:N55"/>
    <mergeCell ref="B39:C39"/>
    <mergeCell ref="B40:N40"/>
    <mergeCell ref="B41:C41"/>
    <mergeCell ref="B42:C42"/>
    <mergeCell ref="B43:C43"/>
    <mergeCell ref="B44:C44"/>
    <mergeCell ref="N31:N32"/>
    <mergeCell ref="B34:C34"/>
    <mergeCell ref="B35:C35"/>
    <mergeCell ref="B36:C36"/>
    <mergeCell ref="B37:C37"/>
    <mergeCell ref="B38:C38"/>
    <mergeCell ref="G31:G32"/>
    <mergeCell ref="H31:H32"/>
    <mergeCell ref="J31:J32"/>
    <mergeCell ref="K31:K32"/>
    <mergeCell ref="L31:L32"/>
    <mergeCell ref="M31:M32"/>
    <mergeCell ref="B29:C29"/>
    <mergeCell ref="B30:C30"/>
    <mergeCell ref="B31:C33"/>
    <mergeCell ref="D31:D32"/>
    <mergeCell ref="E31:E32"/>
    <mergeCell ref="F31:F32"/>
    <mergeCell ref="C23:D23"/>
    <mergeCell ref="E23:F23"/>
    <mergeCell ref="G23:I23"/>
    <mergeCell ref="J23:K23"/>
    <mergeCell ref="B26:N26"/>
    <mergeCell ref="B28:C28"/>
    <mergeCell ref="D28:H28"/>
    <mergeCell ref="J28:N28"/>
    <mergeCell ref="B19:N19"/>
    <mergeCell ref="E21:F21"/>
    <mergeCell ref="G21:I21"/>
    <mergeCell ref="J21:K21"/>
    <mergeCell ref="C22:D22"/>
    <mergeCell ref="E22:F22"/>
    <mergeCell ref="G22:I22"/>
    <mergeCell ref="J22:K22"/>
    <mergeCell ref="C17:D17"/>
    <mergeCell ref="E17:F17"/>
    <mergeCell ref="G17:I17"/>
    <mergeCell ref="J17:K17"/>
    <mergeCell ref="L17:N17"/>
    <mergeCell ref="B18:N18"/>
    <mergeCell ref="C15:D15"/>
    <mergeCell ref="E15:F15"/>
    <mergeCell ref="G15:I15"/>
    <mergeCell ref="J15:K15"/>
    <mergeCell ref="L15:N15"/>
    <mergeCell ref="C16:D16"/>
    <mergeCell ref="E16:F16"/>
    <mergeCell ref="G16:I16"/>
    <mergeCell ref="J16:K16"/>
    <mergeCell ref="L16:N16"/>
    <mergeCell ref="B11:N11"/>
    <mergeCell ref="B12:N12"/>
    <mergeCell ref="B13:D13"/>
    <mergeCell ref="E13:I13"/>
    <mergeCell ref="J13:N13"/>
    <mergeCell ref="C14:D14"/>
    <mergeCell ref="E14:F14"/>
    <mergeCell ref="G14:I14"/>
    <mergeCell ref="J14:K14"/>
    <mergeCell ref="L14:N14"/>
    <mergeCell ref="C10:G10"/>
    <mergeCell ref="K10:L10"/>
    <mergeCell ref="B6:N6"/>
    <mergeCell ref="B7:F7"/>
    <mergeCell ref="G7:N7"/>
    <mergeCell ref="C8:E8"/>
    <mergeCell ref="H8:J8"/>
    <mergeCell ref="K8:L8"/>
    <mergeCell ref="M8:N8"/>
    <mergeCell ref="B2:C5"/>
    <mergeCell ref="D2:L5"/>
    <mergeCell ref="M2:N2"/>
    <mergeCell ref="M3:N3"/>
    <mergeCell ref="M4:N4"/>
    <mergeCell ref="M5:N5"/>
    <mergeCell ref="C9:E9"/>
    <mergeCell ref="H9:J9"/>
    <mergeCell ref="K9:L9"/>
    <mergeCell ref="M9:N9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58" fitToHeight="0" orientation="portrait" r:id="rId1"/>
  <headerFooter alignWithMargins="0">
    <oddHeader xml:space="preserve">&amp;R
</oddHeader>
  </headerFooter>
  <rowBreaks count="1" manualBreakCount="1">
    <brk id="54" max="14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83911-F334-4D18-8E7D-8833EF935C46}">
  <dimension ref="B1:R51"/>
  <sheetViews>
    <sheetView tabSelected="1" zoomScale="90" zoomScaleNormal="90" workbookViewId="0">
      <selection activeCell="L3" sqref="L3:M3"/>
    </sheetView>
  </sheetViews>
  <sheetFormatPr baseColWidth="10" defaultColWidth="11.42578125" defaultRowHeight="12.75" x14ac:dyDescent="0.2"/>
  <cols>
    <col min="1" max="1" width="1.7109375" style="1" customWidth="1"/>
    <col min="2" max="2" width="19" style="1" customWidth="1"/>
    <col min="3" max="3" width="10.42578125" style="1" customWidth="1"/>
    <col min="4" max="4" width="8.85546875" style="1" bestFit="1" customWidth="1"/>
    <col min="5" max="5" width="9.5703125" style="1" bestFit="1" customWidth="1"/>
    <col min="6" max="6" width="8.85546875" style="1" bestFit="1" customWidth="1"/>
    <col min="7" max="7" width="9.5703125" style="1" bestFit="1" customWidth="1"/>
    <col min="8" max="8" width="8.85546875" style="1" bestFit="1" customWidth="1"/>
    <col min="9" max="9" width="9.5703125" style="1" bestFit="1" customWidth="1"/>
    <col min="10" max="10" width="8.85546875" style="1" bestFit="1" customWidth="1"/>
    <col min="11" max="11" width="9.5703125" style="1" bestFit="1" customWidth="1"/>
    <col min="12" max="12" width="8.85546875" style="1" bestFit="1" customWidth="1"/>
    <col min="13" max="13" width="14.28515625" style="1" customWidth="1"/>
    <col min="14" max="14" width="1.85546875" style="1" customWidth="1"/>
    <col min="15" max="15" width="7.5703125" style="1" customWidth="1"/>
    <col min="16" max="16" width="17.85546875" style="1" customWidth="1"/>
    <col min="17" max="16384" width="11.42578125" style="1"/>
  </cols>
  <sheetData>
    <row r="1" spans="2:18" ht="8.4499999999999993" customHeight="1" x14ac:dyDescent="0.2"/>
    <row r="2" spans="2:18" ht="15" customHeight="1" x14ac:dyDescent="0.2">
      <c r="B2" s="106"/>
      <c r="C2" s="107"/>
      <c r="D2" s="112" t="s">
        <v>120</v>
      </c>
      <c r="E2" s="113"/>
      <c r="F2" s="113"/>
      <c r="G2" s="113"/>
      <c r="H2" s="113"/>
      <c r="I2" s="113"/>
      <c r="J2" s="113"/>
      <c r="K2" s="114"/>
      <c r="L2" s="121" t="s">
        <v>93</v>
      </c>
      <c r="M2" s="122"/>
      <c r="N2" s="19"/>
      <c r="O2" s="19"/>
      <c r="P2" s="19"/>
      <c r="Q2" s="19"/>
      <c r="R2" s="19"/>
    </row>
    <row r="3" spans="2:18" ht="15" customHeight="1" x14ac:dyDescent="0.2">
      <c r="B3" s="108"/>
      <c r="C3" s="109"/>
      <c r="D3" s="115"/>
      <c r="E3" s="116"/>
      <c r="F3" s="116"/>
      <c r="G3" s="116"/>
      <c r="H3" s="116"/>
      <c r="I3" s="116"/>
      <c r="J3" s="116"/>
      <c r="K3" s="117"/>
      <c r="L3" s="123" t="s">
        <v>135</v>
      </c>
      <c r="M3" s="124"/>
      <c r="N3" s="19"/>
      <c r="O3" s="19"/>
      <c r="P3" s="19"/>
      <c r="Q3" s="19"/>
      <c r="R3" s="19"/>
    </row>
    <row r="4" spans="2:18" ht="15" customHeight="1" x14ac:dyDescent="0.2">
      <c r="B4" s="108"/>
      <c r="C4" s="109"/>
      <c r="D4" s="115"/>
      <c r="E4" s="116"/>
      <c r="F4" s="116"/>
      <c r="G4" s="116"/>
      <c r="H4" s="116"/>
      <c r="I4" s="116"/>
      <c r="J4" s="116"/>
      <c r="K4" s="117"/>
      <c r="L4" s="125" t="s">
        <v>134</v>
      </c>
      <c r="M4" s="126"/>
      <c r="N4" s="19"/>
      <c r="O4" s="19"/>
      <c r="P4" s="19"/>
      <c r="Q4" s="19"/>
      <c r="R4" s="19"/>
    </row>
    <row r="5" spans="2:18" ht="15" customHeight="1" x14ac:dyDescent="0.2">
      <c r="B5" s="110"/>
      <c r="C5" s="111"/>
      <c r="D5" s="118"/>
      <c r="E5" s="119"/>
      <c r="F5" s="119"/>
      <c r="G5" s="119"/>
      <c r="H5" s="119"/>
      <c r="I5" s="119"/>
      <c r="J5" s="119"/>
      <c r="K5" s="120"/>
      <c r="L5" s="127" t="s">
        <v>119</v>
      </c>
      <c r="M5" s="128"/>
      <c r="N5" s="19"/>
      <c r="O5" s="19"/>
      <c r="P5" s="19"/>
      <c r="Q5" s="19"/>
      <c r="R5" s="19"/>
    </row>
    <row r="6" spans="2:18" ht="3.95" customHeight="1" x14ac:dyDescent="0.2">
      <c r="B6" s="163"/>
      <c r="C6" s="164"/>
      <c r="D6" s="164"/>
      <c r="E6" s="164"/>
      <c r="F6" s="164"/>
      <c r="G6" s="164"/>
      <c r="H6" s="164"/>
      <c r="I6" s="164"/>
      <c r="J6" s="164"/>
      <c r="K6" s="164"/>
      <c r="L6" s="164"/>
      <c r="M6" s="165"/>
      <c r="N6" s="19"/>
      <c r="O6" s="19"/>
      <c r="P6" s="19"/>
      <c r="Q6" s="19"/>
      <c r="R6" s="19"/>
    </row>
    <row r="7" spans="2:18" ht="19.5" customHeight="1" x14ac:dyDescent="0.2">
      <c r="B7" s="167" t="s">
        <v>118</v>
      </c>
      <c r="C7" s="168"/>
      <c r="D7" s="168"/>
      <c r="E7" s="168"/>
      <c r="F7" s="168"/>
      <c r="G7" s="168"/>
      <c r="H7" s="168"/>
      <c r="I7" s="168"/>
      <c r="J7" s="168"/>
      <c r="K7" s="168"/>
      <c r="L7" s="168"/>
      <c r="M7" s="169"/>
      <c r="N7" s="19"/>
      <c r="O7" s="19"/>
      <c r="P7" s="19"/>
      <c r="Q7" s="19"/>
      <c r="R7" s="19"/>
    </row>
    <row r="8" spans="2:18" ht="3.95" customHeight="1" x14ac:dyDescent="0.2">
      <c r="B8" s="27"/>
      <c r="C8" s="20"/>
      <c r="D8" s="20"/>
      <c r="E8" s="20"/>
      <c r="F8" s="20"/>
      <c r="G8" s="20"/>
      <c r="H8" s="20"/>
      <c r="I8" s="20"/>
      <c r="J8" s="20"/>
      <c r="K8" s="20"/>
      <c r="L8" s="20"/>
      <c r="M8" s="21"/>
      <c r="N8" s="19"/>
      <c r="O8" s="19"/>
      <c r="P8" s="19"/>
      <c r="Q8" s="19"/>
      <c r="R8" s="19"/>
    </row>
    <row r="9" spans="2:18" ht="15" customHeight="1" x14ac:dyDescent="0.2">
      <c r="B9" s="108"/>
      <c r="C9" s="170"/>
      <c r="D9" s="171" t="s">
        <v>117</v>
      </c>
      <c r="E9" s="171"/>
      <c r="F9" s="171"/>
      <c r="G9" s="171"/>
      <c r="H9" s="171"/>
      <c r="I9" s="171"/>
      <c r="J9" s="171"/>
      <c r="K9" s="171"/>
      <c r="L9" s="171"/>
      <c r="M9" s="171"/>
      <c r="N9" s="19"/>
      <c r="O9" s="19"/>
      <c r="P9" s="19"/>
      <c r="Q9" s="19"/>
      <c r="R9" s="19"/>
    </row>
    <row r="10" spans="2:18" ht="15" customHeight="1" x14ac:dyDescent="0.2">
      <c r="B10" s="176" t="s">
        <v>2</v>
      </c>
      <c r="C10" s="176"/>
      <c r="D10" s="237">
        <v>0</v>
      </c>
      <c r="E10" s="238"/>
      <c r="F10" s="237">
        <v>20</v>
      </c>
      <c r="G10" s="238"/>
      <c r="H10" s="239">
        <v>40</v>
      </c>
      <c r="I10" s="239"/>
      <c r="J10" s="237">
        <v>60</v>
      </c>
      <c r="K10" s="238"/>
      <c r="L10" s="237">
        <v>80</v>
      </c>
      <c r="M10" s="238"/>
      <c r="N10" s="19"/>
      <c r="O10" s="19"/>
      <c r="P10" s="19"/>
      <c r="Q10" s="19"/>
      <c r="R10" s="19"/>
    </row>
    <row r="11" spans="2:18" ht="15" customHeight="1" x14ac:dyDescent="0.2">
      <c r="B11" s="177" t="s">
        <v>116</v>
      </c>
      <c r="C11" s="177"/>
      <c r="D11" s="240">
        <v>0</v>
      </c>
      <c r="E11" s="241"/>
      <c r="F11" s="240">
        <v>100</v>
      </c>
      <c r="G11" s="241"/>
      <c r="H11" s="242">
        <v>200</v>
      </c>
      <c r="I11" s="242"/>
      <c r="J11" s="240">
        <v>300</v>
      </c>
      <c r="K11" s="241"/>
      <c r="L11" s="240">
        <v>400</v>
      </c>
      <c r="M11" s="241"/>
      <c r="N11" s="19"/>
      <c r="O11" s="19"/>
      <c r="P11" s="19"/>
      <c r="Q11" s="19"/>
      <c r="R11" s="19"/>
    </row>
    <row r="12" spans="2:18" ht="15" customHeight="1" x14ac:dyDescent="0.2">
      <c r="B12" s="178" t="s">
        <v>21</v>
      </c>
      <c r="C12" s="179"/>
      <c r="D12" s="184" t="s">
        <v>115</v>
      </c>
      <c r="E12" s="184" t="s">
        <v>114</v>
      </c>
      <c r="F12" s="184" t="s">
        <v>115</v>
      </c>
      <c r="G12" s="184" t="s">
        <v>114</v>
      </c>
      <c r="H12" s="184" t="s">
        <v>115</v>
      </c>
      <c r="I12" s="184" t="s">
        <v>114</v>
      </c>
      <c r="J12" s="184" t="s">
        <v>115</v>
      </c>
      <c r="K12" s="184" t="s">
        <v>114</v>
      </c>
      <c r="L12" s="184" t="s">
        <v>115</v>
      </c>
      <c r="M12" s="184" t="s">
        <v>114</v>
      </c>
      <c r="N12" s="19"/>
      <c r="O12" s="19"/>
      <c r="P12" s="19"/>
      <c r="Q12" s="19"/>
      <c r="R12" s="19"/>
    </row>
    <row r="13" spans="2:18" ht="20.100000000000001" customHeight="1" x14ac:dyDescent="0.2">
      <c r="B13" s="180"/>
      <c r="C13" s="181"/>
      <c r="D13" s="185"/>
      <c r="E13" s="185"/>
      <c r="F13" s="185"/>
      <c r="G13" s="185"/>
      <c r="H13" s="185"/>
      <c r="I13" s="185"/>
      <c r="J13" s="185"/>
      <c r="K13" s="185"/>
      <c r="L13" s="185"/>
      <c r="M13" s="185"/>
      <c r="N13" s="19"/>
      <c r="O13" s="19"/>
      <c r="P13" s="19"/>
      <c r="Q13" s="19"/>
      <c r="R13" s="19"/>
    </row>
    <row r="14" spans="2:18" ht="15" customHeight="1" x14ac:dyDescent="0.2">
      <c r="B14" s="180"/>
      <c r="C14" s="181"/>
      <c r="D14" s="91" t="str">
        <f>+CONCATENATE("[",'[1]ESTACION 6'!$M$9,"]")</f>
        <v>[ppb]</v>
      </c>
      <c r="E14" s="91" t="str">
        <f>+CONCATENATE("[",'[1]ESTACION 6'!$M$9,"]")</f>
        <v>[ppb]</v>
      </c>
      <c r="F14" s="91" t="str">
        <f>+CONCATENATE("[",'[1]ESTACION 6'!$M$9,"]")</f>
        <v>[ppb]</v>
      </c>
      <c r="G14" s="91" t="str">
        <f>+CONCATENATE("[",'[1]ESTACION 6'!$M$9,"]")</f>
        <v>[ppb]</v>
      </c>
      <c r="H14" s="91" t="str">
        <f>+CONCATENATE("[",'[1]ESTACION 6'!$M$9,"]")</f>
        <v>[ppb]</v>
      </c>
      <c r="I14" s="91" t="str">
        <f>+CONCATENATE("[",'[1]ESTACION 6'!$M$9,"]")</f>
        <v>[ppb]</v>
      </c>
      <c r="J14" s="91" t="str">
        <f>+CONCATENATE("[",'[1]ESTACION 6'!$M$9,"]")</f>
        <v>[ppb]</v>
      </c>
      <c r="K14" s="91" t="str">
        <f>+CONCATENATE("[",'[1]ESTACION 6'!$M$9,"]")</f>
        <v>[ppb]</v>
      </c>
      <c r="L14" s="91" t="str">
        <f>+CONCATENATE("[",'[1]ESTACION 6'!$M$9,"]")</f>
        <v>[ppb]</v>
      </c>
      <c r="M14" s="91" t="str">
        <f>+CONCATENATE("[",'[1]ESTACION 6'!$M$9,"]")</f>
        <v>[ppb]</v>
      </c>
      <c r="N14" s="19"/>
      <c r="O14" s="19"/>
      <c r="P14" s="19"/>
      <c r="Q14" s="19"/>
      <c r="R14" s="19"/>
    </row>
    <row r="15" spans="2:18" ht="15" customHeight="1" x14ac:dyDescent="0.25">
      <c r="B15" s="180">
        <v>1</v>
      </c>
      <c r="C15" s="180"/>
      <c r="D15" s="92"/>
      <c r="E15" s="92"/>
      <c r="F15" s="93"/>
      <c r="G15" s="93"/>
      <c r="H15" s="93"/>
      <c r="I15" s="93"/>
      <c r="J15" s="93"/>
      <c r="K15" s="93"/>
      <c r="L15" s="93"/>
      <c r="M15" s="93"/>
      <c r="N15" s="19"/>
      <c r="O15" s="19"/>
      <c r="P15" s="19"/>
      <c r="Q15" s="19"/>
      <c r="R15" s="19"/>
    </row>
    <row r="16" spans="2:18" ht="15" customHeight="1" x14ac:dyDescent="0.25">
      <c r="B16" s="180">
        <v>2</v>
      </c>
      <c r="C16" s="180"/>
      <c r="D16" s="92"/>
      <c r="E16" s="92"/>
      <c r="F16" s="93"/>
      <c r="G16" s="93"/>
      <c r="H16" s="93"/>
      <c r="I16" s="93"/>
      <c r="J16" s="93"/>
      <c r="K16" s="93"/>
      <c r="L16" s="93"/>
      <c r="M16" s="93"/>
      <c r="N16" s="19"/>
      <c r="O16" s="19"/>
      <c r="P16" s="19"/>
      <c r="Q16" s="19"/>
      <c r="R16" s="19"/>
    </row>
    <row r="17" spans="2:18" ht="15" customHeight="1" x14ac:dyDescent="0.25">
      <c r="B17" s="180">
        <v>3</v>
      </c>
      <c r="C17" s="180"/>
      <c r="D17" s="92"/>
      <c r="E17" s="92"/>
      <c r="F17" s="93"/>
      <c r="G17" s="93"/>
      <c r="H17" s="93"/>
      <c r="I17" s="93"/>
      <c r="J17" s="93"/>
      <c r="K17" s="93"/>
      <c r="L17" s="93"/>
      <c r="M17" s="93"/>
      <c r="N17" s="19"/>
      <c r="O17" s="19"/>
      <c r="P17" s="19"/>
      <c r="Q17" s="19"/>
      <c r="R17" s="19"/>
    </row>
    <row r="18" spans="2:18" ht="15" customHeight="1" x14ac:dyDescent="0.25">
      <c r="B18" s="180">
        <v>4</v>
      </c>
      <c r="C18" s="180"/>
      <c r="D18" s="92"/>
      <c r="E18" s="92"/>
      <c r="F18" s="93"/>
      <c r="G18" s="93"/>
      <c r="H18" s="93"/>
      <c r="I18" s="93"/>
      <c r="J18" s="94"/>
      <c r="K18" s="93"/>
      <c r="L18" s="93"/>
      <c r="M18" s="93"/>
      <c r="N18" s="19"/>
      <c r="O18" s="19"/>
      <c r="P18" s="19"/>
      <c r="Q18" s="19"/>
      <c r="R18" s="19"/>
    </row>
    <row r="19" spans="2:18" ht="15" customHeight="1" x14ac:dyDescent="0.25">
      <c r="B19" s="180">
        <v>5</v>
      </c>
      <c r="C19" s="180"/>
      <c r="D19" s="92"/>
      <c r="E19" s="92"/>
      <c r="F19" s="93"/>
      <c r="G19" s="93"/>
      <c r="H19" s="93"/>
      <c r="I19" s="93"/>
      <c r="J19" s="93"/>
      <c r="K19" s="93"/>
      <c r="L19" s="93"/>
      <c r="M19" s="93"/>
      <c r="N19" s="19"/>
      <c r="O19" s="19"/>
      <c r="P19" s="19"/>
      <c r="Q19" s="19"/>
      <c r="R19" s="19"/>
    </row>
    <row r="20" spans="2:18" ht="15" customHeight="1" x14ac:dyDescent="0.2">
      <c r="B20" s="187" t="s">
        <v>3</v>
      </c>
      <c r="C20" s="187"/>
      <c r="D20" s="36" t="s">
        <v>13</v>
      </c>
      <c r="E20" s="37" t="s">
        <v>13</v>
      </c>
      <c r="F20" s="36" t="e">
        <f t="shared" ref="F20:M20" si="0">AVERAGE(F15:F19)</f>
        <v>#DIV/0!</v>
      </c>
      <c r="G20" s="37" t="e">
        <f t="shared" si="0"/>
        <v>#DIV/0!</v>
      </c>
      <c r="H20" s="36" t="e">
        <f t="shared" si="0"/>
        <v>#DIV/0!</v>
      </c>
      <c r="I20" s="36" t="e">
        <f t="shared" si="0"/>
        <v>#DIV/0!</v>
      </c>
      <c r="J20" s="37" t="e">
        <f t="shared" si="0"/>
        <v>#DIV/0!</v>
      </c>
      <c r="K20" s="37" t="e">
        <f t="shared" si="0"/>
        <v>#DIV/0!</v>
      </c>
      <c r="L20" s="36" t="e">
        <f t="shared" si="0"/>
        <v>#DIV/0!</v>
      </c>
      <c r="M20" s="37" t="e">
        <f t="shared" si="0"/>
        <v>#DIV/0!</v>
      </c>
      <c r="N20" s="19"/>
      <c r="O20" s="19"/>
      <c r="P20" s="19"/>
      <c r="Q20" s="19"/>
      <c r="R20" s="19"/>
    </row>
    <row r="21" spans="2:18" ht="5.0999999999999996" customHeight="1" x14ac:dyDescent="0.2">
      <c r="B21" s="106"/>
      <c r="C21" s="140"/>
      <c r="D21" s="140"/>
      <c r="E21" s="140"/>
      <c r="F21" s="140"/>
      <c r="G21" s="140"/>
      <c r="H21" s="140"/>
      <c r="I21" s="140"/>
      <c r="J21" s="140"/>
      <c r="K21" s="140"/>
      <c r="L21" s="140"/>
      <c r="M21" s="107"/>
      <c r="N21" s="19"/>
      <c r="O21" s="19"/>
      <c r="P21" s="19"/>
      <c r="Q21" s="19"/>
      <c r="R21" s="19"/>
    </row>
    <row r="22" spans="2:18" ht="15" customHeight="1" x14ac:dyDescent="0.2">
      <c r="B22" s="243" t="s">
        <v>113</v>
      </c>
      <c r="C22" s="243"/>
      <c r="D22" s="243"/>
      <c r="E22" s="243"/>
      <c r="F22" s="243"/>
      <c r="G22" s="243"/>
      <c r="H22" s="243"/>
      <c r="I22" s="243"/>
      <c r="J22" s="243"/>
      <c r="K22" s="243"/>
      <c r="L22" s="243"/>
      <c r="M22" s="243"/>
      <c r="N22" s="19"/>
      <c r="O22" s="19"/>
      <c r="P22" s="19"/>
      <c r="Q22" s="19"/>
      <c r="R22" s="19"/>
    </row>
    <row r="23" spans="2:18" ht="15" customHeight="1" x14ac:dyDescent="0.2">
      <c r="B23" s="244" t="s">
        <v>112</v>
      </c>
      <c r="C23" s="244"/>
      <c r="D23" s="244" t="s">
        <v>111</v>
      </c>
      <c r="E23" s="244"/>
      <c r="F23" s="244"/>
      <c r="G23" s="245" t="s">
        <v>110</v>
      </c>
      <c r="H23" s="245"/>
      <c r="I23" s="245" t="s">
        <v>109</v>
      </c>
      <c r="J23" s="245"/>
      <c r="K23" s="244" t="s">
        <v>108</v>
      </c>
      <c r="L23" s="244"/>
      <c r="M23" s="244"/>
      <c r="N23" s="19"/>
      <c r="O23" s="19"/>
      <c r="P23" s="247" t="s">
        <v>107</v>
      </c>
      <c r="Q23" s="19"/>
      <c r="R23" s="19"/>
    </row>
    <row r="24" spans="2:18" ht="15" customHeight="1" x14ac:dyDescent="0.2">
      <c r="B24" s="244"/>
      <c r="C24" s="244"/>
      <c r="D24" s="244"/>
      <c r="E24" s="244"/>
      <c r="F24" s="244"/>
      <c r="G24" s="245"/>
      <c r="H24" s="245"/>
      <c r="I24" s="245"/>
      <c r="J24" s="245"/>
      <c r="K24" s="246"/>
      <c r="L24" s="246"/>
      <c r="M24" s="246"/>
      <c r="N24" s="19"/>
      <c r="O24" s="19"/>
      <c r="P24" s="247"/>
      <c r="Q24" s="19"/>
      <c r="R24" s="19"/>
    </row>
    <row r="25" spans="2:18" ht="15" customHeight="1" x14ac:dyDescent="0.2">
      <c r="B25" s="248">
        <f>+D10</f>
        <v>0</v>
      </c>
      <c r="C25" s="249"/>
      <c r="D25" s="95"/>
      <c r="E25" s="96">
        <f>+D11</f>
        <v>0</v>
      </c>
      <c r="F25" s="97"/>
      <c r="G25" s="250" t="s">
        <v>13</v>
      </c>
      <c r="H25" s="250"/>
      <c r="I25" s="250" t="s">
        <v>13</v>
      </c>
      <c r="J25" s="251"/>
      <c r="K25" s="95"/>
      <c r="L25" s="96" t="s">
        <v>13</v>
      </c>
      <c r="M25" s="97"/>
      <c r="N25" s="19"/>
      <c r="O25" s="19"/>
      <c r="P25" s="98" t="s">
        <v>13</v>
      </c>
      <c r="Q25" s="19"/>
      <c r="R25" s="19"/>
    </row>
    <row r="26" spans="2:18" ht="15" customHeight="1" x14ac:dyDescent="0.2">
      <c r="B26" s="248">
        <f>+F10</f>
        <v>20</v>
      </c>
      <c r="C26" s="249"/>
      <c r="D26" s="95"/>
      <c r="E26" s="96">
        <f>+F11</f>
        <v>100</v>
      </c>
      <c r="F26" s="97"/>
      <c r="G26" s="250" t="e">
        <f>NOx!K39</f>
        <v>#DIV/0!</v>
      </c>
      <c r="H26" s="250"/>
      <c r="I26" s="250" t="e">
        <f>+G20</f>
        <v>#DIV/0!</v>
      </c>
      <c r="J26" s="251"/>
      <c r="K26" s="95"/>
      <c r="L26" s="96" t="e">
        <f>+E26-(G26-I26)</f>
        <v>#DIV/0!</v>
      </c>
      <c r="M26" s="97"/>
      <c r="N26" s="19"/>
      <c r="O26" s="19"/>
      <c r="P26" s="99" t="e">
        <f>+F20</f>
        <v>#DIV/0!</v>
      </c>
      <c r="Q26" s="19"/>
      <c r="R26" s="19"/>
    </row>
    <row r="27" spans="2:18" ht="15" customHeight="1" x14ac:dyDescent="0.2">
      <c r="B27" s="248">
        <f>+H10</f>
        <v>40</v>
      </c>
      <c r="C27" s="249"/>
      <c r="D27" s="95"/>
      <c r="E27" s="96">
        <f>+H11</f>
        <v>200</v>
      </c>
      <c r="F27" s="97"/>
      <c r="G27" s="250" t="e">
        <f>NOx!L39</f>
        <v>#DIV/0!</v>
      </c>
      <c r="H27" s="250"/>
      <c r="I27" s="250" t="e">
        <f>+I20</f>
        <v>#DIV/0!</v>
      </c>
      <c r="J27" s="251"/>
      <c r="K27" s="95"/>
      <c r="L27" s="96" t="e">
        <f>+E27-(G27-I27)</f>
        <v>#DIV/0!</v>
      </c>
      <c r="M27" s="97"/>
      <c r="N27" s="19"/>
      <c r="O27" s="19"/>
      <c r="P27" s="99" t="e">
        <f>+H20</f>
        <v>#DIV/0!</v>
      </c>
      <c r="Q27" s="19"/>
      <c r="R27" s="19"/>
    </row>
    <row r="28" spans="2:18" ht="15" customHeight="1" x14ac:dyDescent="0.2">
      <c r="B28" s="248">
        <f>+J10</f>
        <v>60</v>
      </c>
      <c r="C28" s="249"/>
      <c r="D28" s="95"/>
      <c r="E28" s="96">
        <f>+J11</f>
        <v>300</v>
      </c>
      <c r="F28" s="97"/>
      <c r="G28" s="250" t="e">
        <f>NOx!M39</f>
        <v>#DIV/0!</v>
      </c>
      <c r="H28" s="250"/>
      <c r="I28" s="250" t="e">
        <f>+K20</f>
        <v>#DIV/0!</v>
      </c>
      <c r="J28" s="251"/>
      <c r="K28" s="95"/>
      <c r="L28" s="96" t="e">
        <f>+E28-(G28-I28)</f>
        <v>#DIV/0!</v>
      </c>
      <c r="M28" s="97"/>
      <c r="N28" s="19"/>
      <c r="O28" s="19"/>
      <c r="P28" s="99" t="e">
        <f>+J20</f>
        <v>#DIV/0!</v>
      </c>
      <c r="Q28" s="19"/>
      <c r="R28" s="19"/>
    </row>
    <row r="29" spans="2:18" ht="15" customHeight="1" x14ac:dyDescent="0.2">
      <c r="B29" s="248">
        <f>+L10</f>
        <v>80</v>
      </c>
      <c r="C29" s="249"/>
      <c r="D29" s="95"/>
      <c r="E29" s="96">
        <f>+L11</f>
        <v>400</v>
      </c>
      <c r="F29" s="97"/>
      <c r="G29" s="250" t="e">
        <f>NOx!N39</f>
        <v>#DIV/0!</v>
      </c>
      <c r="H29" s="250"/>
      <c r="I29" s="250" t="e">
        <f>+M20</f>
        <v>#DIV/0!</v>
      </c>
      <c r="J29" s="251"/>
      <c r="K29" s="95"/>
      <c r="L29" s="96" t="e">
        <f>+E29-(G29-I29)</f>
        <v>#DIV/0!</v>
      </c>
      <c r="M29" s="97"/>
      <c r="N29" s="19"/>
      <c r="O29" s="19"/>
      <c r="P29" s="99" t="e">
        <f>+L20</f>
        <v>#DIV/0!</v>
      </c>
      <c r="Q29" s="19"/>
      <c r="R29" s="19"/>
    </row>
    <row r="30" spans="2:18" ht="15" customHeight="1" x14ac:dyDescent="0.2">
      <c r="B30" s="47"/>
      <c r="C30" s="100"/>
      <c r="D30" s="100"/>
      <c r="E30" s="19"/>
      <c r="F30" s="19"/>
      <c r="G30" s="19"/>
      <c r="H30" s="19"/>
      <c r="I30" s="252" t="s">
        <v>106</v>
      </c>
      <c r="J30" s="252"/>
      <c r="K30" s="253" t="e">
        <f>(SLOPE(L26:L29,E26:E29))</f>
        <v>#DIV/0!</v>
      </c>
      <c r="L30" s="253"/>
      <c r="M30" s="253"/>
      <c r="N30" s="19"/>
      <c r="O30" s="101" t="s">
        <v>105</v>
      </c>
      <c r="P30" s="102" t="e">
        <f>+SLOPE(P26:P29,E26:E29)</f>
        <v>#DIV/0!</v>
      </c>
      <c r="Q30" s="19"/>
      <c r="R30" s="19"/>
    </row>
    <row r="31" spans="2:18" ht="5.0999999999999996" customHeight="1" x14ac:dyDescent="0.2">
      <c r="B31" s="103"/>
      <c r="C31" s="104"/>
      <c r="D31" s="104"/>
      <c r="E31" s="104"/>
      <c r="F31" s="104"/>
      <c r="G31" s="104"/>
      <c r="H31" s="104"/>
      <c r="I31" s="104"/>
      <c r="J31" s="104"/>
      <c r="K31" s="104"/>
      <c r="L31" s="104"/>
      <c r="M31" s="105"/>
      <c r="N31" s="19"/>
      <c r="O31" s="19"/>
      <c r="P31" s="19"/>
      <c r="Q31" s="19"/>
      <c r="R31" s="19"/>
    </row>
    <row r="32" spans="2:18" ht="5.0999999999999996" customHeight="1" x14ac:dyDescent="0.2">
      <c r="B32" s="47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9"/>
      <c r="N32" s="19"/>
      <c r="O32" s="19"/>
      <c r="P32" s="19"/>
      <c r="Q32" s="19"/>
      <c r="R32" s="19"/>
    </row>
    <row r="33" spans="2:18" ht="19.5" customHeight="1" x14ac:dyDescent="0.2">
      <c r="B33" s="167" t="s">
        <v>104</v>
      </c>
      <c r="C33" s="168"/>
      <c r="D33" s="168"/>
      <c r="E33" s="168"/>
      <c r="F33" s="168"/>
      <c r="G33" s="168"/>
      <c r="H33" s="168"/>
      <c r="I33" s="168"/>
      <c r="J33" s="168"/>
      <c r="K33" s="168"/>
      <c r="L33" s="168"/>
      <c r="M33" s="169"/>
      <c r="N33" s="19"/>
      <c r="O33" s="19"/>
      <c r="P33" s="19"/>
      <c r="Q33" s="19"/>
      <c r="R33" s="19"/>
    </row>
    <row r="34" spans="2:18" ht="19.5" customHeight="1" x14ac:dyDescent="0.2">
      <c r="B34" s="18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22"/>
      <c r="N34" s="19"/>
      <c r="O34" s="19"/>
      <c r="P34" s="19"/>
      <c r="Q34" s="19"/>
      <c r="R34" s="19"/>
    </row>
    <row r="35" spans="2:18" ht="19.5" customHeight="1" x14ac:dyDescent="0.2">
      <c r="B35" s="18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22"/>
      <c r="N35" s="19"/>
      <c r="O35" s="19"/>
      <c r="P35" s="19"/>
      <c r="Q35" s="19"/>
      <c r="R35" s="19"/>
    </row>
    <row r="36" spans="2:18" ht="19.5" customHeight="1" x14ac:dyDescent="0.2">
      <c r="B36" s="18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22"/>
      <c r="N36" s="19"/>
      <c r="O36" s="19"/>
      <c r="P36" s="19"/>
      <c r="Q36" s="19"/>
      <c r="R36" s="19"/>
    </row>
    <row r="37" spans="2:18" ht="19.5" customHeight="1" x14ac:dyDescent="0.2">
      <c r="B37" s="18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22"/>
      <c r="N37" s="19"/>
      <c r="O37" s="19"/>
      <c r="P37" s="19"/>
      <c r="Q37" s="19"/>
      <c r="R37" s="19"/>
    </row>
    <row r="38" spans="2:18" ht="19.5" customHeight="1" x14ac:dyDescent="0.2">
      <c r="B38" s="18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22"/>
      <c r="N38" s="19"/>
      <c r="O38" s="19"/>
      <c r="P38" s="19"/>
      <c r="Q38" s="19"/>
      <c r="R38" s="19"/>
    </row>
    <row r="39" spans="2:18" ht="19.5" customHeight="1" x14ac:dyDescent="0.2">
      <c r="B39" s="18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22"/>
      <c r="N39" s="19"/>
      <c r="O39" s="19"/>
      <c r="P39" s="19"/>
      <c r="Q39" s="19"/>
      <c r="R39" s="19"/>
    </row>
    <row r="40" spans="2:18" ht="19.5" customHeight="1" x14ac:dyDescent="0.2">
      <c r="B40" s="18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22"/>
      <c r="N40" s="19"/>
      <c r="O40" s="19"/>
      <c r="P40" s="19"/>
      <c r="Q40" s="19"/>
      <c r="R40" s="19"/>
    </row>
    <row r="41" spans="2:18" ht="19.5" customHeight="1" x14ac:dyDescent="0.2">
      <c r="B41" s="18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22"/>
      <c r="N41" s="19"/>
      <c r="O41" s="19"/>
      <c r="P41" s="19"/>
      <c r="Q41" s="19"/>
      <c r="R41" s="19"/>
    </row>
    <row r="42" spans="2:18" ht="19.5" customHeight="1" x14ac:dyDescent="0.2">
      <c r="B42" s="18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22"/>
      <c r="N42" s="19"/>
      <c r="O42" s="19"/>
      <c r="P42" s="19"/>
      <c r="Q42" s="19"/>
      <c r="R42" s="19"/>
    </row>
    <row r="43" spans="2:18" ht="19.5" customHeight="1" x14ac:dyDescent="0.2">
      <c r="B43" s="18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22"/>
      <c r="N43" s="19"/>
      <c r="O43" s="19"/>
      <c r="P43" s="19"/>
      <c r="Q43" s="19"/>
      <c r="R43" s="19"/>
    </row>
    <row r="44" spans="2:18" ht="9.75" customHeight="1" x14ac:dyDescent="0.2">
      <c r="B44" s="18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22"/>
      <c r="N44" s="19"/>
      <c r="O44" s="19"/>
      <c r="P44" s="19"/>
      <c r="Q44" s="19"/>
      <c r="R44" s="19"/>
    </row>
    <row r="45" spans="2:18" ht="19.5" customHeight="1" x14ac:dyDescent="0.2">
      <c r="B45" s="18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22"/>
      <c r="N45" s="19"/>
      <c r="O45" s="19"/>
      <c r="P45" s="19"/>
      <c r="Q45" s="19"/>
      <c r="R45" s="19"/>
    </row>
    <row r="46" spans="2:18" ht="19.5" customHeight="1" x14ac:dyDescent="0.2">
      <c r="B46" s="18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22"/>
      <c r="N46" s="19"/>
      <c r="O46" s="19"/>
      <c r="P46" s="19"/>
      <c r="Q46" s="19"/>
      <c r="R46" s="19"/>
    </row>
    <row r="47" spans="2:18" ht="19.5" customHeight="1" x14ac:dyDescent="0.2">
      <c r="B47" s="18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22"/>
      <c r="N47" s="19"/>
      <c r="O47" s="19"/>
      <c r="P47" s="19"/>
      <c r="Q47" s="19"/>
      <c r="R47" s="19"/>
    </row>
    <row r="48" spans="2:18" ht="19.5" customHeight="1" x14ac:dyDescent="0.2">
      <c r="B48" s="18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22"/>
      <c r="N48" s="19"/>
      <c r="O48" s="19"/>
      <c r="P48" s="19"/>
      <c r="Q48" s="19"/>
      <c r="R48" s="19"/>
    </row>
    <row r="49" spans="2:18" ht="19.5" customHeight="1" x14ac:dyDescent="0.2">
      <c r="B49" s="18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22"/>
      <c r="N49" s="19"/>
      <c r="O49" s="19"/>
      <c r="P49" s="19"/>
      <c r="Q49" s="19"/>
      <c r="R49" s="19"/>
    </row>
    <row r="50" spans="2:18" ht="9.4" customHeight="1" x14ac:dyDescent="0.2">
      <c r="B50" s="23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56"/>
      <c r="N50" s="19"/>
      <c r="O50" s="19"/>
      <c r="P50" s="19"/>
      <c r="Q50" s="19"/>
      <c r="R50" s="19"/>
    </row>
    <row r="51" spans="2:18" ht="5.0999999999999996" customHeight="1" x14ac:dyDescent="0.2"/>
  </sheetData>
  <mergeCells count="65">
    <mergeCell ref="I30:J30"/>
    <mergeCell ref="K30:M30"/>
    <mergeCell ref="B33:M33"/>
    <mergeCell ref="B27:C27"/>
    <mergeCell ref="G27:H27"/>
    <mergeCell ref="I27:J27"/>
    <mergeCell ref="B28:C28"/>
    <mergeCell ref="G28:H28"/>
    <mergeCell ref="I28:J28"/>
    <mergeCell ref="B29:C29"/>
    <mergeCell ref="G29:H29"/>
    <mergeCell ref="I29:J29"/>
    <mergeCell ref="P23:P24"/>
    <mergeCell ref="B25:C25"/>
    <mergeCell ref="G25:H25"/>
    <mergeCell ref="I25:J25"/>
    <mergeCell ref="B26:C26"/>
    <mergeCell ref="G26:H26"/>
    <mergeCell ref="I26:J26"/>
    <mergeCell ref="B17:C17"/>
    <mergeCell ref="B19:C19"/>
    <mergeCell ref="B20:C20"/>
    <mergeCell ref="B22:M22"/>
    <mergeCell ref="B23:C24"/>
    <mergeCell ref="D23:F24"/>
    <mergeCell ref="G23:H24"/>
    <mergeCell ref="I23:J24"/>
    <mergeCell ref="K23:M24"/>
    <mergeCell ref="L11:M11"/>
    <mergeCell ref="B18:C18"/>
    <mergeCell ref="B21:M21"/>
    <mergeCell ref="I12:I13"/>
    <mergeCell ref="J12:J13"/>
    <mergeCell ref="K12:K13"/>
    <mergeCell ref="L12:L13"/>
    <mergeCell ref="M12:M13"/>
    <mergeCell ref="B15:C15"/>
    <mergeCell ref="B12:C14"/>
    <mergeCell ref="D12:D13"/>
    <mergeCell ref="E12:E13"/>
    <mergeCell ref="F12:F13"/>
    <mergeCell ref="G12:G13"/>
    <mergeCell ref="H12:H13"/>
    <mergeCell ref="B16:C16"/>
    <mergeCell ref="B11:C11"/>
    <mergeCell ref="D11:E11"/>
    <mergeCell ref="F11:G11"/>
    <mergeCell ref="H11:I11"/>
    <mergeCell ref="J11:K11"/>
    <mergeCell ref="B6:M6"/>
    <mergeCell ref="B7:M7"/>
    <mergeCell ref="B9:C9"/>
    <mergeCell ref="D9:M9"/>
    <mergeCell ref="B10:C10"/>
    <mergeCell ref="D10:E10"/>
    <mergeCell ref="F10:G10"/>
    <mergeCell ref="H10:I10"/>
    <mergeCell ref="J10:K10"/>
    <mergeCell ref="L10:M10"/>
    <mergeCell ref="B2:C5"/>
    <mergeCell ref="D2:K5"/>
    <mergeCell ref="L2:M2"/>
    <mergeCell ref="L3:M3"/>
    <mergeCell ref="L4:M4"/>
    <mergeCell ref="L5:M5"/>
  </mergeCells>
  <conditionalFormatting sqref="K30:M30">
    <cfRule type="cellIs" dxfId="5" priority="4" operator="between">
      <formula>0.96</formula>
      <formula>1.041</formula>
    </cfRule>
    <cfRule type="cellIs" dxfId="4" priority="5" operator="greaterThan">
      <formula>"104.1%"</formula>
    </cfRule>
    <cfRule type="cellIs" dxfId="3" priority="6" operator="lessThan">
      <formula>0.96</formula>
    </cfRule>
  </conditionalFormatting>
  <conditionalFormatting sqref="P30">
    <cfRule type="cellIs" dxfId="2" priority="1" operator="between">
      <formula>0.96</formula>
      <formula>1.041</formula>
    </cfRule>
    <cfRule type="cellIs" dxfId="1" priority="2" operator="greaterThan">
      <formula>"104.1%"</formula>
    </cfRule>
    <cfRule type="cellIs" dxfId="0" priority="3" operator="lessThan">
      <formula>0.96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2"/>
  <dimension ref="B1:D5"/>
  <sheetViews>
    <sheetView workbookViewId="0">
      <selection activeCell="C22" sqref="C22"/>
    </sheetView>
  </sheetViews>
  <sheetFormatPr baseColWidth="10" defaultRowHeight="15" x14ac:dyDescent="0.25"/>
  <cols>
    <col min="1" max="1" width="1.5703125" customWidth="1"/>
    <col min="2" max="2" width="12.42578125" customWidth="1"/>
    <col min="3" max="3" width="21.140625" customWidth="1"/>
    <col min="4" max="4" width="19.85546875" bestFit="1" customWidth="1"/>
  </cols>
  <sheetData>
    <row r="1" spans="2:4" ht="8.4499999999999993" customHeight="1" x14ac:dyDescent="0.25"/>
    <row r="2" spans="2:4" x14ac:dyDescent="0.25">
      <c r="B2" t="s">
        <v>71</v>
      </c>
      <c r="C2" t="s">
        <v>72</v>
      </c>
      <c r="D2" t="s">
        <v>75</v>
      </c>
    </row>
    <row r="3" spans="2:4" ht="14.45" customHeight="1" x14ac:dyDescent="0.25">
      <c r="B3" t="s">
        <v>70</v>
      </c>
      <c r="C3">
        <v>0.1</v>
      </c>
      <c r="D3" t="s">
        <v>84</v>
      </c>
    </row>
    <row r="4" spans="2:4" ht="18" x14ac:dyDescent="0.35">
      <c r="B4" t="s">
        <v>73</v>
      </c>
      <c r="C4">
        <v>0.01</v>
      </c>
      <c r="D4" t="s">
        <v>76</v>
      </c>
    </row>
    <row r="5" spans="2:4" ht="18" x14ac:dyDescent="0.35">
      <c r="B5" t="s">
        <v>74</v>
      </c>
      <c r="D5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NOx</vt:lpstr>
      <vt:lpstr>GPT -Eficiecia de Conversión </vt:lpstr>
      <vt:lpstr>Listas</vt:lpstr>
      <vt:lpstr>NOx!Área_de_impresión</vt:lpstr>
      <vt:lpstr>NOx!Print_Area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JLLP</dc:creator>
  <cp:lastModifiedBy>Jhoana Mendoza</cp:lastModifiedBy>
  <cp:lastPrinted>2020-07-21T15:55:56Z</cp:lastPrinted>
  <dcterms:created xsi:type="dcterms:W3CDTF">2015-01-24T19:13:32Z</dcterms:created>
  <dcterms:modified xsi:type="dcterms:W3CDTF">2023-08-28T17:25:31Z</dcterms:modified>
</cp:coreProperties>
</file>