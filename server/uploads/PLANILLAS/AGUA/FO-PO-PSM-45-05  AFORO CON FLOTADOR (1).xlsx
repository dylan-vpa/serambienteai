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Users\Jhoana.mendoza\Downloads\formtos dt\OPERACIONES\otro\"/>
    </mc:Choice>
  </mc:AlternateContent>
  <xr:revisionPtr revIDLastSave="0" documentId="13_ncr:1_{2CC3AFC8-CFC5-4973-A9D8-54AAF2E1A78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  <sheet name="Hoja2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3" l="1"/>
  <c r="I12" i="3" s="1"/>
  <c r="H11" i="3"/>
  <c r="I11" i="3" s="1"/>
  <c r="H10" i="3"/>
  <c r="I10" i="3" s="1"/>
  <c r="I9" i="3"/>
  <c r="H9" i="3"/>
  <c r="H8" i="3"/>
  <c r="I8" i="3" s="1"/>
  <c r="H7" i="3"/>
  <c r="I7" i="3" s="1"/>
  <c r="X15" i="1" l="1"/>
  <c r="Y15" i="1" s="1"/>
  <c r="Z15" i="1" s="1"/>
  <c r="X16" i="1"/>
  <c r="Y16" i="1" s="1"/>
  <c r="Z16" i="1" s="1"/>
  <c r="X17" i="1"/>
  <c r="Y17" i="1" s="1"/>
  <c r="Z17" i="1" s="1"/>
  <c r="X18" i="1"/>
  <c r="Y18" i="1" s="1"/>
  <c r="Z18" i="1" s="1"/>
  <c r="X19" i="1"/>
  <c r="Y19" i="1" s="1"/>
  <c r="Z19" i="1" s="1"/>
  <c r="X20" i="1"/>
  <c r="Y20" i="1" s="1"/>
  <c r="Z20" i="1" s="1"/>
  <c r="T15" i="1"/>
  <c r="U15" i="1"/>
  <c r="T16" i="1"/>
  <c r="U16" i="1"/>
  <c r="T17" i="1"/>
  <c r="U17" i="1"/>
  <c r="T18" i="1"/>
  <c r="U18" i="1" s="1"/>
  <c r="T19" i="1"/>
  <c r="U19" i="1"/>
  <c r="T20" i="1"/>
  <c r="U20" i="1"/>
  <c r="R11" i="1"/>
  <c r="T11" i="1" s="1"/>
  <c r="U11" i="1" s="1"/>
  <c r="R12" i="1"/>
  <c r="T12" i="1" s="1"/>
  <c r="U12" i="1" s="1"/>
  <c r="R13" i="1"/>
  <c r="T13" i="1" s="1"/>
  <c r="U13" i="1" s="1"/>
  <c r="R14" i="1"/>
  <c r="T14" i="1" s="1"/>
  <c r="U14" i="1" s="1"/>
  <c r="R15" i="1"/>
  <c r="R16" i="1"/>
  <c r="R17" i="1"/>
  <c r="R18" i="1"/>
  <c r="R19" i="1"/>
  <c r="R20" i="1"/>
  <c r="R10" i="1"/>
  <c r="T10" i="1" s="1"/>
  <c r="U10" i="1" s="1"/>
  <c r="X10" i="1"/>
  <c r="X11" i="1"/>
  <c r="X12" i="1"/>
  <c r="X13" i="1"/>
  <c r="X14" i="1"/>
  <c r="Y14" i="1" l="1"/>
  <c r="Z14" i="1" s="1"/>
  <c r="Y13" i="1"/>
  <c r="Z13" i="1" s="1"/>
  <c r="Y12" i="1"/>
  <c r="Z12" i="1" s="1"/>
  <c r="Y11" i="1"/>
  <c r="Z11" i="1" s="1"/>
  <c r="Y10" i="1"/>
  <c r="Z10" i="1" s="1"/>
</calcChain>
</file>

<file path=xl/sharedStrings.xml><?xml version="1.0" encoding="utf-8"?>
<sst xmlns="http://schemas.openxmlformats.org/spreadsheetml/2006/main" count="52" uniqueCount="42">
  <si>
    <t>IDENTIFICACIÓN DE LA MUESTRA</t>
  </si>
  <si>
    <t>FECHA</t>
  </si>
  <si>
    <t>HORA</t>
  </si>
  <si>
    <t>TIEMPO (s)</t>
  </si>
  <si>
    <t>TIEMPO PROMEDIO</t>
  </si>
  <si>
    <t>VELOCIDAD MEDIA</t>
  </si>
  <si>
    <t>PROFUNDIDAD PROMEDIO (m)</t>
  </si>
  <si>
    <t>AFORO</t>
  </si>
  <si>
    <t>N°</t>
  </si>
  <si>
    <t>DISTANCIA 
RECORRIDA POR FLOTADOR</t>
  </si>
  <si>
    <t>ANCHO DEL CAUCE (m)</t>
  </si>
  <si>
    <t xml:space="preserve">Código: FO-PO-PSM-45-05  </t>
  </si>
  <si>
    <t>Página 1 de 1</t>
  </si>
  <si>
    <t>AFORO CON FLOTADOR</t>
  </si>
  <si>
    <t>CAUDAL 
(L/s)</t>
  </si>
  <si>
    <t>CLIENTE</t>
  </si>
  <si>
    <t>RESPONSABLE DE CAMPO</t>
  </si>
  <si>
    <t>MUNICIPIO</t>
  </si>
  <si>
    <t>OT</t>
  </si>
  <si>
    <t>TIPO DE MUESTRA:</t>
  </si>
  <si>
    <t>OBSERVACIONES</t>
  </si>
  <si>
    <t>Nombre / Firma Aprobador</t>
  </si>
  <si>
    <t>Versión:05</t>
  </si>
  <si>
    <r>
      <t>AREA (m</t>
    </r>
    <r>
      <rPr>
        <b/>
        <vertAlign val="superscript"/>
        <sz val="10"/>
        <color theme="1"/>
        <rFont val="Avenir Next LT Pro Light"/>
        <family val="2"/>
      </rPr>
      <t>2</t>
    </r>
    <r>
      <rPr>
        <b/>
        <sz val="10"/>
        <color theme="1"/>
        <rFont val="Avenir Next LT Pro Light"/>
        <family val="2"/>
      </rPr>
      <t>)</t>
    </r>
  </si>
  <si>
    <r>
      <t>CAUDAL 
(m</t>
    </r>
    <r>
      <rPr>
        <b/>
        <vertAlign val="superscript"/>
        <sz val="10"/>
        <color theme="1"/>
        <rFont val="Avenir Next LT Pro Light"/>
        <family val="2"/>
      </rPr>
      <t>3</t>
    </r>
    <r>
      <rPr>
        <b/>
        <sz val="10"/>
        <color theme="1"/>
        <rFont val="Avenir Next LT Pro Light"/>
        <family val="2"/>
      </rPr>
      <t>/s)</t>
    </r>
  </si>
  <si>
    <r>
      <t>t</t>
    </r>
    <r>
      <rPr>
        <b/>
        <vertAlign val="subscript"/>
        <sz val="10"/>
        <color theme="1"/>
        <rFont val="Avenir Next LT Pro Light"/>
        <family val="2"/>
      </rPr>
      <t>p</t>
    </r>
  </si>
  <si>
    <r>
      <t>d</t>
    </r>
    <r>
      <rPr>
        <b/>
        <vertAlign val="subscript"/>
        <sz val="10"/>
        <color theme="1"/>
        <rFont val="Avenir Next LT Pro Light"/>
        <family val="2"/>
      </rPr>
      <t>(f)</t>
    </r>
  </si>
  <si>
    <r>
      <t>t</t>
    </r>
    <r>
      <rPr>
        <b/>
        <vertAlign val="subscript"/>
        <sz val="10"/>
        <color theme="1"/>
        <rFont val="Avenir Next LT Pro Light"/>
        <family val="2"/>
      </rPr>
      <t>1</t>
    </r>
  </si>
  <si>
    <r>
      <t>t</t>
    </r>
    <r>
      <rPr>
        <b/>
        <vertAlign val="subscript"/>
        <sz val="10"/>
        <color theme="1"/>
        <rFont val="Avenir Next LT Pro Light"/>
        <family val="2"/>
      </rPr>
      <t>2</t>
    </r>
  </si>
  <si>
    <r>
      <t>t</t>
    </r>
    <r>
      <rPr>
        <b/>
        <vertAlign val="subscript"/>
        <sz val="10"/>
        <color theme="1"/>
        <rFont val="Avenir Next LT Pro Light"/>
        <family val="2"/>
      </rPr>
      <t>3</t>
    </r>
  </si>
  <si>
    <r>
      <t>t</t>
    </r>
    <r>
      <rPr>
        <b/>
        <vertAlign val="subscript"/>
        <sz val="10"/>
        <color theme="1"/>
        <rFont val="Avenir Next LT Pro Light"/>
        <family val="2"/>
      </rPr>
      <t>4</t>
    </r>
  </si>
  <si>
    <r>
      <t>t</t>
    </r>
    <r>
      <rPr>
        <b/>
        <vertAlign val="subscript"/>
        <sz val="10"/>
        <color theme="1"/>
        <rFont val="Avenir Next LT Pro Light"/>
        <family val="2"/>
      </rPr>
      <t>5</t>
    </r>
  </si>
  <si>
    <t>VELOCIDAD SUPERFICIAL</t>
  </si>
  <si>
    <t>MARGEN DERECHA ¼</t>
  </si>
  <si>
    <t>CENTRO ½</t>
  </si>
  <si>
    <t>MARGEN IZQUIERDA ¾</t>
  </si>
  <si>
    <t xml:space="preserve">P </t>
  </si>
  <si>
    <t>R</t>
  </si>
  <si>
    <t>F</t>
  </si>
  <si>
    <r>
      <t xml:space="preserve">H </t>
    </r>
    <r>
      <rPr>
        <b/>
        <vertAlign val="subscript"/>
        <sz val="11"/>
        <color theme="1"/>
        <rFont val="Calibri"/>
        <family val="2"/>
        <scheme val="minor"/>
      </rPr>
      <t>F</t>
    </r>
  </si>
  <si>
    <t>Fecha:2023-08-27</t>
  </si>
  <si>
    <t>Nombre / Firma Ejecutor Responsable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</si>
</sst>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yyyy\-mm\-dd;@"/>
  </numFmts>
  <fonts count="8" x14ac:knownFonts="1">
    <font>
      <sz val="11"/>
      <color theme="1"/>
      <name val="Calibri"/>
      <family val="2"/>
      <scheme val="minor"/>
    </font>
    <font>
      <b/>
      <sz val="20"/>
      <color theme="1"/>
      <name val="Avenir Next LT Pro Light"/>
      <family val="2"/>
    </font>
    <font>
      <sz val="10"/>
      <color theme="1"/>
      <name val="Avenir Next LT Pro Light"/>
      <family val="2"/>
    </font>
    <font>
      <b/>
      <sz val="10"/>
      <color theme="1"/>
      <name val="Avenir Next LT Pro Light"/>
      <family val="2"/>
    </font>
    <font>
      <b/>
      <vertAlign val="superscript"/>
      <sz val="10"/>
      <color theme="1"/>
      <name val="Avenir Next LT Pro Light"/>
      <family val="2"/>
    </font>
    <font>
      <b/>
      <vertAlign val="subscript"/>
      <sz val="10"/>
      <color theme="1"/>
      <name val="Avenir Next LT Pro Light"/>
      <family val="2"/>
    </font>
    <font>
      <b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2" fillId="0" borderId="0" xfId="0" applyFont="1"/>
    <xf numFmtId="0" fontId="3" fillId="0" borderId="26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2" xfId="0" applyFont="1" applyFill="1" applyBorder="1" applyAlignment="1">
      <alignment horizontal="center" vertical="center" wrapText="1"/>
    </xf>
    <xf numFmtId="0" fontId="2" fillId="0" borderId="22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2" fillId="0" borderId="25" xfId="0" applyFont="1" applyBorder="1" applyAlignment="1">
      <alignment horizontal="center" vertical="center"/>
    </xf>
    <xf numFmtId="20" fontId="2" fillId="0" borderId="25" xfId="0" applyNumberFormat="1" applyFont="1" applyBorder="1" applyAlignment="1">
      <alignment horizontal="center" vertical="center"/>
    </xf>
    <xf numFmtId="2" fontId="2" fillId="0" borderId="16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2" fontId="2" fillId="0" borderId="25" xfId="0" applyNumberFormat="1" applyFont="1" applyBorder="1" applyAlignment="1">
      <alignment horizontal="center" vertical="center"/>
    </xf>
    <xf numFmtId="165" fontId="2" fillId="0" borderId="25" xfId="0" applyNumberFormat="1" applyFont="1" applyBorder="1" applyAlignment="1">
      <alignment horizontal="center" vertical="center"/>
    </xf>
    <xf numFmtId="165" fontId="2" fillId="0" borderId="23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23" xfId="0" applyFont="1" applyBorder="1" applyAlignment="1">
      <alignment horizontal="center" vertical="center"/>
    </xf>
    <xf numFmtId="20" fontId="2" fillId="0" borderId="23" xfId="0" applyNumberFormat="1" applyFont="1" applyBorder="1" applyAlignment="1">
      <alignment horizontal="center" vertical="center"/>
    </xf>
    <xf numFmtId="2" fontId="2" fillId="0" borderId="18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2" fontId="2" fillId="0" borderId="23" xfId="0" applyNumberFormat="1" applyFont="1" applyBorder="1" applyAlignment="1">
      <alignment horizontal="center" vertical="center"/>
    </xf>
    <xf numFmtId="2" fontId="2" fillId="0" borderId="19" xfId="0" applyNumberFormat="1" applyFont="1" applyBorder="1" applyAlignment="1">
      <alignment horizontal="center" vertical="center"/>
    </xf>
    <xf numFmtId="2" fontId="2" fillId="0" borderId="4" xfId="0" applyNumberFormat="1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20" fontId="2" fillId="0" borderId="28" xfId="0" applyNumberFormat="1" applyFont="1" applyBorder="1" applyAlignment="1">
      <alignment horizontal="center" vertical="center"/>
    </xf>
    <xf numFmtId="2" fontId="2" fillId="0" borderId="27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2" fontId="2" fillId="0" borderId="28" xfId="0" applyNumberFormat="1" applyFont="1" applyBorder="1" applyAlignment="1">
      <alignment horizontal="center" vertical="center"/>
    </xf>
    <xf numFmtId="165" fontId="2" fillId="0" borderId="28" xfId="0" applyNumberFormat="1" applyFont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164" fontId="2" fillId="3" borderId="25" xfId="0" applyNumberFormat="1" applyFont="1" applyFill="1" applyBorder="1" applyAlignment="1">
      <alignment horizontal="center" vertical="center"/>
    </xf>
    <xf numFmtId="164" fontId="2" fillId="3" borderId="23" xfId="0" applyNumberFormat="1" applyFont="1" applyFill="1" applyBorder="1" applyAlignment="1">
      <alignment horizontal="center" vertical="center"/>
    </xf>
    <xf numFmtId="2" fontId="2" fillId="3" borderId="25" xfId="0" applyNumberFormat="1" applyFont="1" applyFill="1" applyBorder="1" applyAlignment="1">
      <alignment horizontal="center" vertical="center"/>
    </xf>
    <xf numFmtId="165" fontId="2" fillId="3" borderId="23" xfId="0" applyNumberFormat="1" applyFont="1" applyFill="1" applyBorder="1" applyAlignment="1">
      <alignment horizontal="center" vertical="center"/>
    </xf>
    <xf numFmtId="2" fontId="2" fillId="3" borderId="23" xfId="0" applyNumberFormat="1" applyFont="1" applyFill="1" applyBorder="1" applyAlignment="1">
      <alignment horizontal="center" vertical="center"/>
    </xf>
    <xf numFmtId="0" fontId="0" fillId="4" borderId="4" xfId="0" applyFill="1" applyBorder="1" applyAlignment="1">
      <alignment horizontal="center"/>
    </xf>
    <xf numFmtId="2" fontId="0" fillId="3" borderId="4" xfId="0" applyNumberFormat="1" applyFill="1" applyBorder="1" applyAlignment="1">
      <alignment horizontal="center"/>
    </xf>
    <xf numFmtId="164" fontId="0" fillId="3" borderId="4" xfId="0" applyNumberForma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/>
    <xf numFmtId="0" fontId="2" fillId="0" borderId="0" xfId="0" applyFont="1" applyBorder="1"/>
    <xf numFmtId="0" fontId="2" fillId="0" borderId="29" xfId="0" applyFont="1" applyBorder="1" applyAlignment="1"/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166" fontId="3" fillId="0" borderId="13" xfId="0" applyNumberFormat="1" applyFont="1" applyBorder="1" applyAlignment="1">
      <alignment horizontal="center" vertical="center"/>
    </xf>
    <xf numFmtId="166" fontId="3" fillId="0" borderId="14" xfId="0" applyNumberFormat="1" applyFont="1" applyBorder="1" applyAlignment="1">
      <alignment horizontal="center" vertical="center"/>
    </xf>
    <xf numFmtId="166" fontId="3" fillId="0" borderId="15" xfId="0" applyNumberFormat="1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3" fillId="2" borderId="10" xfId="0" applyFont="1" applyFill="1" applyBorder="1" applyAlignment="1">
      <alignment horizontal="left" vertical="center"/>
    </xf>
    <xf numFmtId="0" fontId="3" fillId="2" borderId="12" xfId="0" applyFont="1" applyFill="1" applyBorder="1" applyAlignment="1">
      <alignment horizontal="left" vertical="center"/>
    </xf>
    <xf numFmtId="0" fontId="3" fillId="2" borderId="13" xfId="0" applyFont="1" applyFill="1" applyBorder="1" applyAlignment="1">
      <alignment horizontal="left" vertical="center"/>
    </xf>
    <xf numFmtId="0" fontId="3" fillId="2" borderId="15" xfId="0" applyFont="1" applyFill="1" applyBorder="1" applyAlignment="1">
      <alignment horizontal="left" vertical="center"/>
    </xf>
    <xf numFmtId="0" fontId="3" fillId="2" borderId="10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2" borderId="8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left" vertical="center"/>
    </xf>
    <xf numFmtId="0" fontId="3" fillId="2" borderId="14" xfId="0" applyFont="1" applyFill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left"/>
    </xf>
    <xf numFmtId="0" fontId="2" fillId="0" borderId="12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0" fontId="1" fillId="0" borderId="2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3" fillId="2" borderId="18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2" fillId="0" borderId="23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22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2" fillId="0" borderId="4" xfId="0" applyFont="1" applyFill="1" applyBorder="1" applyAlignment="1">
      <alignment horizontal="left"/>
    </xf>
    <xf numFmtId="0" fontId="2" fillId="0" borderId="19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5.2466780578692598E-2"/>
                  <c:y val="-0.3679671501981205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</c:trendlineLbl>
          </c:trendline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BCB-46C7-84A0-7C2D343367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0339103"/>
        <c:axId val="1060579071"/>
      </c:scatterChart>
      <c:valAx>
        <c:axId val="1060339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60579071"/>
        <c:crosses val="autoZero"/>
        <c:crossBetween val="midCat"/>
      </c:valAx>
      <c:valAx>
        <c:axId val="1060579071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603391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177799</xdr:colOff>
      <xdr:row>7</xdr:row>
      <xdr:rowOff>34925</xdr:rowOff>
    </xdr:from>
    <xdr:ext cx="471475" cy="36856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 txBox="1"/>
          </xdr:nvSpPr>
          <xdr:spPr>
            <a:xfrm>
              <a:off x="10020299" y="1368425"/>
              <a:ext cx="471475" cy="36856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  <m:sub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𝑆</m:t>
                        </m:r>
                      </m:sub>
                    </m:sSub>
                    <m:r>
                      <a:rPr lang="es-MX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𝑑</m:t>
                        </m:r>
                      </m:num>
                      <m:den>
                        <m:sSub>
                          <m:sSubPr>
                            <m:ctrlPr>
                              <a:rPr lang="es-MX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MX" sz="11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e>
                          <m:sub>
                            <m:r>
                              <a:rPr lang="es-MX" sz="1100" b="0" i="1">
                                <a:latin typeface="Cambria Math" panose="02040503050406030204" pitchFamily="18" charset="0"/>
                              </a:rPr>
                              <m:t>𝑝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2" name="CuadroTexto 1"/>
            <xdr:cNvSpPr txBox="1"/>
          </xdr:nvSpPr>
          <xdr:spPr>
            <a:xfrm>
              <a:off x="10020299" y="1368425"/>
              <a:ext cx="471475" cy="36856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100" b="0" i="0">
                  <a:latin typeface="Cambria Math" panose="02040503050406030204" pitchFamily="18" charset="0"/>
                </a:rPr>
                <a:t>𝑉</a:t>
              </a:r>
              <a:r>
                <a:rPr lang="es-CO" sz="1100" b="0" i="0">
                  <a:latin typeface="Cambria Math" panose="02040503050406030204" pitchFamily="18" charset="0"/>
                </a:rPr>
                <a:t>_</a:t>
              </a:r>
              <a:r>
                <a:rPr lang="es-MX" sz="1100" b="0" i="0">
                  <a:latin typeface="Cambria Math" panose="02040503050406030204" pitchFamily="18" charset="0"/>
                </a:rPr>
                <a:t>𝑆=𝑑/𝑡_𝑝 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20</xdr:col>
      <xdr:colOff>29634</xdr:colOff>
      <xdr:row>7</xdr:row>
      <xdr:rowOff>119592</xdr:rowOff>
    </xdr:from>
    <xdr:ext cx="865365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 txBox="1"/>
          </xdr:nvSpPr>
          <xdr:spPr>
            <a:xfrm>
              <a:off x="10718801" y="1453092"/>
              <a:ext cx="86536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100" b="0" i="1">
                        <a:latin typeface="Cambria Math" panose="02040503050406030204" pitchFamily="18" charset="0"/>
                      </a:rPr>
                      <m:t>𝑉</m:t>
                    </m:r>
                    <m:r>
                      <a:rPr lang="es-MX" sz="11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  <m:sub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𝑆</m:t>
                        </m:r>
                      </m:sub>
                    </m:sSub>
                    <m:r>
                      <a:rPr lang="es-MX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×0,85</m:t>
                    </m:r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3" name="CuadroTexto 2"/>
            <xdr:cNvSpPr txBox="1"/>
          </xdr:nvSpPr>
          <xdr:spPr>
            <a:xfrm>
              <a:off x="10718801" y="1453092"/>
              <a:ext cx="86536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100" b="0" i="0">
                  <a:latin typeface="Cambria Math" panose="02040503050406030204" pitchFamily="18" charset="0"/>
                </a:rPr>
                <a:t>𝑉=𝑉_𝑆</a:t>
              </a:r>
              <a:r>
                <a:rPr lang="es-MX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×0,85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21</xdr:col>
      <xdr:colOff>442383</xdr:colOff>
      <xdr:row>7</xdr:row>
      <xdr:rowOff>98424</xdr:rowOff>
    </xdr:from>
    <xdr:ext cx="231666" cy="23237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 txBox="1"/>
          </xdr:nvSpPr>
          <xdr:spPr>
            <a:xfrm>
              <a:off x="12560300" y="1262591"/>
              <a:ext cx="231666" cy="2323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4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MX" sz="1400" b="0" i="1">
                            <a:latin typeface="Cambria Math" panose="02040503050406030204" pitchFamily="18" charset="0"/>
                          </a:rPr>
                          <m:t>h</m:t>
                        </m:r>
                      </m:e>
                      <m:sub>
                        <m:r>
                          <a:rPr lang="es-MX" sz="1400" b="0" i="1">
                            <a:latin typeface="Cambria Math" panose="02040503050406030204" pitchFamily="18" charset="0"/>
                          </a:rPr>
                          <m:t>𝑝</m:t>
                        </m:r>
                      </m:sub>
                    </m:sSub>
                  </m:oMath>
                </m:oMathPara>
              </a14:m>
              <a:endParaRPr lang="es-CO" sz="1400"/>
            </a:p>
          </xdr:txBody>
        </xdr:sp>
      </mc:Choice>
      <mc:Fallback xmlns="">
        <xdr:sp macro="" textlink="">
          <xdr:nvSpPr>
            <xdr:cNvPr id="4" name="CuadroTexto 3"/>
            <xdr:cNvSpPr txBox="1"/>
          </xdr:nvSpPr>
          <xdr:spPr>
            <a:xfrm>
              <a:off x="12560300" y="1262591"/>
              <a:ext cx="231666" cy="2323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400" b="0" i="0">
                  <a:latin typeface="Cambria Math" panose="02040503050406030204" pitchFamily="18" charset="0"/>
                </a:rPr>
                <a:t>ℎ</a:t>
              </a:r>
              <a:r>
                <a:rPr lang="es-CO" sz="1400" b="0" i="0">
                  <a:latin typeface="Cambria Math" panose="02040503050406030204" pitchFamily="18" charset="0"/>
                </a:rPr>
                <a:t>_</a:t>
              </a:r>
              <a:r>
                <a:rPr lang="es-MX" sz="1400" b="0" i="0">
                  <a:latin typeface="Cambria Math" panose="02040503050406030204" pitchFamily="18" charset="0"/>
                </a:rPr>
                <a:t>𝑝</a:t>
              </a:r>
              <a:endParaRPr lang="es-CO" sz="1400"/>
            </a:p>
          </xdr:txBody>
        </xdr:sp>
      </mc:Fallback>
    </mc:AlternateContent>
    <xdr:clientData/>
  </xdr:oneCellAnchor>
  <xdr:oneCellAnchor>
    <xdr:from>
      <xdr:col>22</xdr:col>
      <xdr:colOff>400050</xdr:colOff>
      <xdr:row>7</xdr:row>
      <xdr:rowOff>132160</xdr:rowOff>
    </xdr:from>
    <xdr:ext cx="13042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SpPr txBox="1"/>
          </xdr:nvSpPr>
          <xdr:spPr>
            <a:xfrm>
              <a:off x="12973050" y="1465660"/>
              <a:ext cx="13042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200" b="1" i="1">
                        <a:latin typeface="Cambria Math" panose="02040503050406030204" pitchFamily="18" charset="0"/>
                      </a:rPr>
                      <m:t>𝒂</m:t>
                    </m:r>
                  </m:oMath>
                </m:oMathPara>
              </a14:m>
              <a:endParaRPr lang="es-CO" sz="1200" b="1"/>
            </a:p>
          </xdr:txBody>
        </xdr:sp>
      </mc:Choice>
      <mc:Fallback xmlns="">
        <xdr:sp macro="" textlink="">
          <xdr:nvSpPr>
            <xdr:cNvPr id="5" name="CuadroTexto 4"/>
            <xdr:cNvSpPr txBox="1"/>
          </xdr:nvSpPr>
          <xdr:spPr>
            <a:xfrm>
              <a:off x="12973050" y="1465660"/>
              <a:ext cx="13042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200" b="1" i="0">
                  <a:latin typeface="Cambria Math" panose="02040503050406030204" pitchFamily="18" charset="0"/>
                </a:rPr>
                <a:t>𝒂</a:t>
              </a:r>
              <a:endParaRPr lang="es-CO" sz="1200" b="1"/>
            </a:p>
          </xdr:txBody>
        </xdr:sp>
      </mc:Fallback>
    </mc:AlternateContent>
    <xdr:clientData/>
  </xdr:oneCellAnchor>
  <xdr:oneCellAnchor>
    <xdr:from>
      <xdr:col>23</xdr:col>
      <xdr:colOff>78580</xdr:colOff>
      <xdr:row>7</xdr:row>
      <xdr:rowOff>108346</xdr:rowOff>
    </xdr:from>
    <xdr:ext cx="784317" cy="20153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SpPr txBox="1"/>
          </xdr:nvSpPr>
          <xdr:spPr>
            <a:xfrm>
              <a:off x="13532643" y="1441846"/>
              <a:ext cx="784317" cy="2015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200" b="1" i="1">
                        <a:latin typeface="Cambria Math" panose="02040503050406030204" pitchFamily="18" charset="0"/>
                      </a:rPr>
                      <m:t>𝑨</m:t>
                    </m:r>
                    <m:r>
                      <a:rPr lang="es-MX" sz="1200" b="1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s-MX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MX" sz="1200" b="1" i="1">
                            <a:latin typeface="Cambria Math" panose="02040503050406030204" pitchFamily="18" charset="0"/>
                          </a:rPr>
                          <m:t>𝒉</m:t>
                        </m:r>
                      </m:e>
                      <m:sub>
                        <m:r>
                          <a:rPr lang="es-MX" sz="1200" b="1" i="1">
                            <a:latin typeface="Cambria Math" panose="02040503050406030204" pitchFamily="18" charset="0"/>
                          </a:rPr>
                          <m:t>𝒑</m:t>
                        </m:r>
                      </m:sub>
                    </m:sSub>
                    <m:r>
                      <a:rPr lang="es-MX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r>
                      <a:rPr lang="es-MX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𝒂</m:t>
                    </m:r>
                  </m:oMath>
                </m:oMathPara>
              </a14:m>
              <a:endParaRPr lang="es-CO" sz="1200" b="1"/>
            </a:p>
          </xdr:txBody>
        </xdr:sp>
      </mc:Choice>
      <mc:Fallback xmlns="">
        <xdr:sp macro="" textlink="">
          <xdr:nvSpPr>
            <xdr:cNvPr id="6" name="CuadroTexto 5"/>
            <xdr:cNvSpPr txBox="1"/>
          </xdr:nvSpPr>
          <xdr:spPr>
            <a:xfrm>
              <a:off x="13532643" y="1441846"/>
              <a:ext cx="784317" cy="2015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200" b="1" i="0">
                  <a:latin typeface="Cambria Math" panose="02040503050406030204" pitchFamily="18" charset="0"/>
                </a:rPr>
                <a:t>𝑨=𝒉_𝒑</a:t>
              </a:r>
              <a:r>
                <a:rPr lang="es-MX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×𝒂</a:t>
              </a:r>
              <a:endParaRPr lang="es-CO" sz="1200" b="1"/>
            </a:p>
          </xdr:txBody>
        </xdr:sp>
      </mc:Fallback>
    </mc:AlternateContent>
    <xdr:clientData/>
  </xdr:oneCellAnchor>
  <xdr:oneCellAnchor>
    <xdr:from>
      <xdr:col>24</xdr:col>
      <xdr:colOff>126206</xdr:colOff>
      <xdr:row>7</xdr:row>
      <xdr:rowOff>144065</xdr:rowOff>
    </xdr:from>
    <xdr:ext cx="76719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00000000-0008-0000-0000-000007000000}"/>
                </a:ext>
              </a:extLst>
            </xdr:cNvPr>
            <xdr:cNvSpPr txBox="1"/>
          </xdr:nvSpPr>
          <xdr:spPr>
            <a:xfrm>
              <a:off x="14556581" y="1477565"/>
              <a:ext cx="76719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100" b="1" i="1">
                        <a:latin typeface="Cambria Math" panose="02040503050406030204" pitchFamily="18" charset="0"/>
                      </a:rPr>
                      <m:t>𝑸</m:t>
                    </m:r>
                    <m:r>
                      <a:rPr lang="es-MX" sz="1100" b="1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s-MX" sz="11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MX" sz="1100" b="1" i="1">
                            <a:latin typeface="Cambria Math" panose="02040503050406030204" pitchFamily="18" charset="0"/>
                          </a:rPr>
                          <m:t>𝑽</m:t>
                        </m:r>
                      </m:e>
                      <m:sub>
                        <m:r>
                          <a:rPr lang="es-MX" sz="1100" b="1" i="1">
                            <a:latin typeface="Cambria Math" panose="02040503050406030204" pitchFamily="18" charset="0"/>
                          </a:rPr>
                          <m:t>𝑴</m:t>
                        </m:r>
                      </m:sub>
                    </m:sSub>
                    <m:r>
                      <a:rPr lang="es-MX" sz="11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r>
                      <a:rPr lang="es-MX" sz="11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𝑨</m:t>
                    </m:r>
                  </m:oMath>
                </m:oMathPara>
              </a14:m>
              <a:endParaRPr lang="es-CO" sz="1100" b="1"/>
            </a:p>
          </xdr:txBody>
        </xdr:sp>
      </mc:Choice>
      <mc:Fallback xmlns="">
        <xdr:sp macro="" textlink="">
          <xdr:nvSpPr>
            <xdr:cNvPr id="7" name="CuadroTexto 6"/>
            <xdr:cNvSpPr txBox="1"/>
          </xdr:nvSpPr>
          <xdr:spPr>
            <a:xfrm>
              <a:off x="14556581" y="1477565"/>
              <a:ext cx="76719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100" b="1" i="0">
                  <a:latin typeface="Cambria Math" panose="02040503050406030204" pitchFamily="18" charset="0"/>
                </a:rPr>
                <a:t>𝑸=𝑽_𝑴</a:t>
              </a:r>
              <a:r>
                <a:rPr lang="es-MX" sz="11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×𝑨</a:t>
              </a:r>
              <a:endParaRPr lang="es-CO" sz="1100" b="1"/>
            </a:p>
          </xdr:txBody>
        </xdr:sp>
      </mc:Fallback>
    </mc:AlternateContent>
    <xdr:clientData/>
  </xdr:oneCellAnchor>
  <xdr:oneCellAnchor>
    <xdr:from>
      <xdr:col>25</xdr:col>
      <xdr:colOff>126206</xdr:colOff>
      <xdr:row>7</xdr:row>
      <xdr:rowOff>120253</xdr:rowOff>
    </xdr:from>
    <xdr:ext cx="63620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id="{00000000-0008-0000-0000-000008000000}"/>
                </a:ext>
              </a:extLst>
            </xdr:cNvPr>
            <xdr:cNvSpPr txBox="1"/>
          </xdr:nvSpPr>
          <xdr:spPr>
            <a:xfrm>
              <a:off x="15806737" y="2156222"/>
              <a:ext cx="63620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100" b="1" i="1">
                        <a:latin typeface="Cambria Math" panose="02040503050406030204" pitchFamily="18" charset="0"/>
                      </a:rPr>
                      <m:t>𝑸</m:t>
                    </m:r>
                    <m:r>
                      <a:rPr lang="es-MX" sz="11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r>
                      <a:rPr lang="es-MX" sz="11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𝟏𝟎𝟎𝟎</m:t>
                    </m:r>
                  </m:oMath>
                </m:oMathPara>
              </a14:m>
              <a:endParaRPr lang="es-CO" sz="1100" b="1"/>
            </a:p>
          </xdr:txBody>
        </xdr:sp>
      </mc:Choice>
      <mc:Fallback xmlns="">
        <xdr:sp macro="" textlink="">
          <xdr:nvSpPr>
            <xdr:cNvPr id="8" name="CuadroTexto 7"/>
            <xdr:cNvSpPr txBox="1"/>
          </xdr:nvSpPr>
          <xdr:spPr>
            <a:xfrm>
              <a:off x="15806737" y="2156222"/>
              <a:ext cx="63620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100" b="1" i="0">
                  <a:latin typeface="Cambria Math" panose="02040503050406030204" pitchFamily="18" charset="0"/>
                </a:rPr>
                <a:t>𝑸</a:t>
              </a:r>
              <a:r>
                <a:rPr lang="es-MX" sz="11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×𝟏𝟎𝟎𝟎</a:t>
              </a:r>
              <a:endParaRPr lang="es-CO" sz="1100" b="1"/>
            </a:p>
          </xdr:txBody>
        </xdr:sp>
      </mc:Fallback>
    </mc:AlternateContent>
    <xdr:clientData/>
  </xdr:oneCellAnchor>
  <xdr:twoCellAnchor editAs="oneCell">
    <xdr:from>
      <xdr:col>0</xdr:col>
      <xdr:colOff>535781</xdr:colOff>
      <xdr:row>0</xdr:row>
      <xdr:rowOff>83344</xdr:rowOff>
    </xdr:from>
    <xdr:to>
      <xdr:col>1</xdr:col>
      <xdr:colOff>386556</xdr:colOff>
      <xdr:row>3</xdr:row>
      <xdr:rowOff>110649</xdr:rowOff>
    </xdr:to>
    <xdr:pic>
      <xdr:nvPicPr>
        <xdr:cNvPr id="9" name="image2.jp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1"/>
        <a:srcRect t="16121" b="17196"/>
        <a:stretch>
          <a:fillRect/>
        </a:stretch>
      </xdr:blipFill>
      <xdr:spPr>
        <a:xfrm>
          <a:off x="535781" y="83344"/>
          <a:ext cx="898525" cy="598805"/>
        </a:xfrm>
        <a:prstGeom prst="rect">
          <a:avLst/>
        </a:prstGeom>
        <a:ln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813594</xdr:colOff>
      <xdr:row>3</xdr:row>
      <xdr:rowOff>144463</xdr:rowOff>
    </xdr:from>
    <xdr:to>
      <xdr:col>14</xdr:col>
      <xdr:colOff>127000</xdr:colOff>
      <xdr:row>13</xdr:row>
      <xdr:rowOff>39687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8326AAE-0524-4B83-AD3F-D5D1C55A24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8"/>
  <sheetViews>
    <sheetView tabSelected="1" view="pageBreakPreview" zoomScale="50" zoomScaleNormal="70" zoomScaleSheetLayoutView="50" workbookViewId="0">
      <selection activeCell="W11" sqref="W11"/>
    </sheetView>
  </sheetViews>
  <sheetFormatPr baseColWidth="10" defaultColWidth="10.85546875" defaultRowHeight="12.75" x14ac:dyDescent="0.2"/>
  <cols>
    <col min="1" max="1" width="15.7109375" style="1" customWidth="1"/>
    <col min="2" max="2" width="18.140625" style="1" customWidth="1"/>
    <col min="3" max="17" width="6.140625" style="1" customWidth="1"/>
    <col min="18" max="18" width="12.140625" style="1" customWidth="1"/>
    <col min="19" max="19" width="19.5703125" style="1" customWidth="1"/>
    <col min="20" max="20" width="14.5703125" style="1" customWidth="1"/>
    <col min="21" max="21" width="15.28515625" style="1" customWidth="1"/>
    <col min="22" max="22" width="18" style="1" customWidth="1"/>
    <col min="23" max="23" width="13.28515625" style="1" customWidth="1"/>
    <col min="24" max="24" width="14.7109375" style="1" customWidth="1"/>
    <col min="25" max="25" width="14.85546875" style="1" customWidth="1"/>
    <col min="26" max="26" width="13.7109375" style="1" customWidth="1"/>
    <col min="27" max="16384" width="10.85546875" style="1"/>
  </cols>
  <sheetData>
    <row r="1" spans="1:26" ht="15" customHeight="1" x14ac:dyDescent="0.2">
      <c r="A1" s="61"/>
      <c r="B1" s="62"/>
      <c r="C1" s="95" t="s">
        <v>13</v>
      </c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1" t="s">
        <v>11</v>
      </c>
      <c r="Z1" s="92"/>
    </row>
    <row r="2" spans="1:26" ht="15" customHeight="1" x14ac:dyDescent="0.2">
      <c r="A2" s="63"/>
      <c r="B2" s="64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111" t="s">
        <v>22</v>
      </c>
      <c r="Z2" s="112"/>
    </row>
    <row r="3" spans="1:26" ht="15" customHeight="1" x14ac:dyDescent="0.2">
      <c r="A3" s="63"/>
      <c r="B3" s="64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  <c r="Y3" s="111" t="s">
        <v>40</v>
      </c>
      <c r="Z3" s="112"/>
    </row>
    <row r="4" spans="1:26" ht="15" customHeight="1" thickBot="1" x14ac:dyDescent="0.25">
      <c r="A4" s="65"/>
      <c r="B4" s="66"/>
      <c r="C4" s="96"/>
      <c r="D4" s="96"/>
      <c r="E4" s="96"/>
      <c r="F4" s="96"/>
      <c r="G4" s="96"/>
      <c r="H4" s="96"/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  <c r="Y4" s="93" t="s">
        <v>12</v>
      </c>
      <c r="Z4" s="94"/>
    </row>
    <row r="5" spans="1:26" ht="13.5" thickBot="1" x14ac:dyDescent="0.25">
      <c r="A5" s="67" t="s">
        <v>0</v>
      </c>
      <c r="B5" s="68"/>
      <c r="C5" s="97"/>
      <c r="D5" s="98"/>
      <c r="E5" s="98"/>
      <c r="F5" s="98"/>
      <c r="G5" s="98"/>
      <c r="H5" s="98"/>
      <c r="I5" s="99"/>
      <c r="J5" s="67" t="s">
        <v>15</v>
      </c>
      <c r="K5" s="81"/>
      <c r="L5" s="81"/>
      <c r="M5" s="81"/>
      <c r="N5" s="68"/>
      <c r="O5" s="83"/>
      <c r="P5" s="84"/>
      <c r="Q5" s="84"/>
      <c r="R5" s="84"/>
      <c r="S5" s="85"/>
      <c r="T5" s="39" t="s">
        <v>18</v>
      </c>
      <c r="U5" s="2"/>
      <c r="V5" s="89" t="s">
        <v>17</v>
      </c>
      <c r="W5" s="90"/>
      <c r="X5" s="53"/>
      <c r="Y5" s="54"/>
      <c r="Z5" s="55"/>
    </row>
    <row r="6" spans="1:26" ht="13.5" thickBot="1" x14ac:dyDescent="0.25">
      <c r="A6" s="69" t="s">
        <v>1</v>
      </c>
      <c r="B6" s="70"/>
      <c r="C6" s="56"/>
      <c r="D6" s="57"/>
      <c r="E6" s="57"/>
      <c r="F6" s="57"/>
      <c r="G6" s="57"/>
      <c r="H6" s="57"/>
      <c r="I6" s="58"/>
      <c r="J6" s="69" t="s">
        <v>16</v>
      </c>
      <c r="K6" s="82"/>
      <c r="L6" s="82"/>
      <c r="M6" s="82"/>
      <c r="N6" s="70"/>
      <c r="O6" s="86"/>
      <c r="P6" s="87"/>
      <c r="Q6" s="87"/>
      <c r="R6" s="87"/>
      <c r="S6" s="88"/>
      <c r="T6" s="76" t="s">
        <v>19</v>
      </c>
      <c r="U6" s="77"/>
      <c r="V6" s="53"/>
      <c r="W6" s="54"/>
      <c r="X6" s="54"/>
      <c r="Y6" s="54"/>
      <c r="Z6" s="55"/>
    </row>
    <row r="7" spans="1:26" ht="44.25" customHeight="1" thickBot="1" x14ac:dyDescent="0.25">
      <c r="A7" s="74"/>
      <c r="B7" s="75"/>
      <c r="C7" s="78" t="s">
        <v>3</v>
      </c>
      <c r="D7" s="79"/>
      <c r="E7" s="79"/>
      <c r="F7" s="79"/>
      <c r="G7" s="79"/>
      <c r="H7" s="79"/>
      <c r="I7" s="79"/>
      <c r="J7" s="79"/>
      <c r="K7" s="79"/>
      <c r="L7" s="79"/>
      <c r="M7" s="79"/>
      <c r="N7" s="79"/>
      <c r="O7" s="79"/>
      <c r="P7" s="79"/>
      <c r="Q7" s="80"/>
      <c r="R7" s="3" t="s">
        <v>4</v>
      </c>
      <c r="S7" s="3" t="s">
        <v>9</v>
      </c>
      <c r="T7" s="3" t="s">
        <v>32</v>
      </c>
      <c r="U7" s="3" t="s">
        <v>5</v>
      </c>
      <c r="V7" s="4" t="s">
        <v>6</v>
      </c>
      <c r="W7" s="5" t="s">
        <v>10</v>
      </c>
      <c r="X7" s="5" t="s">
        <v>23</v>
      </c>
      <c r="Y7" s="5" t="s">
        <v>24</v>
      </c>
      <c r="Z7" s="6" t="s">
        <v>14</v>
      </c>
    </row>
    <row r="8" spans="1:26" x14ac:dyDescent="0.2">
      <c r="A8" s="7" t="s">
        <v>7</v>
      </c>
      <c r="B8" s="59" t="s">
        <v>2</v>
      </c>
      <c r="C8" s="71" t="s">
        <v>33</v>
      </c>
      <c r="D8" s="72"/>
      <c r="E8" s="72"/>
      <c r="F8" s="72"/>
      <c r="G8" s="73"/>
      <c r="H8" s="71" t="s">
        <v>34</v>
      </c>
      <c r="I8" s="72"/>
      <c r="J8" s="72"/>
      <c r="K8" s="72"/>
      <c r="L8" s="73"/>
      <c r="M8" s="71" t="s">
        <v>35</v>
      </c>
      <c r="N8" s="72"/>
      <c r="O8" s="72"/>
      <c r="P8" s="72"/>
      <c r="Q8" s="73"/>
      <c r="R8" s="109" t="s">
        <v>25</v>
      </c>
      <c r="S8" s="109" t="s">
        <v>26</v>
      </c>
      <c r="T8" s="107"/>
      <c r="U8" s="107"/>
      <c r="V8" s="107"/>
      <c r="W8" s="105"/>
      <c r="X8" s="105"/>
      <c r="Y8" s="105"/>
      <c r="Z8" s="104"/>
    </row>
    <row r="9" spans="1:26" ht="15" thickBot="1" x14ac:dyDescent="0.3">
      <c r="A9" s="8" t="s">
        <v>8</v>
      </c>
      <c r="B9" s="60"/>
      <c r="C9" s="9" t="s">
        <v>27</v>
      </c>
      <c r="D9" s="10" t="s">
        <v>28</v>
      </c>
      <c r="E9" s="10" t="s">
        <v>29</v>
      </c>
      <c r="F9" s="10" t="s">
        <v>30</v>
      </c>
      <c r="G9" s="11" t="s">
        <v>31</v>
      </c>
      <c r="H9" s="9" t="s">
        <v>27</v>
      </c>
      <c r="I9" s="10" t="s">
        <v>28</v>
      </c>
      <c r="J9" s="10" t="s">
        <v>29</v>
      </c>
      <c r="K9" s="10" t="s">
        <v>30</v>
      </c>
      <c r="L9" s="11" t="s">
        <v>31</v>
      </c>
      <c r="M9" s="9" t="s">
        <v>27</v>
      </c>
      <c r="N9" s="10" t="s">
        <v>28</v>
      </c>
      <c r="O9" s="10" t="s">
        <v>29</v>
      </c>
      <c r="P9" s="10" t="s">
        <v>30</v>
      </c>
      <c r="Q9" s="11" t="s">
        <v>31</v>
      </c>
      <c r="R9" s="110"/>
      <c r="S9" s="110"/>
      <c r="T9" s="108"/>
      <c r="U9" s="108"/>
      <c r="V9" s="108"/>
      <c r="W9" s="106"/>
      <c r="X9" s="106"/>
      <c r="Y9" s="106"/>
      <c r="Z9" s="104"/>
    </row>
    <row r="10" spans="1:26" s="21" customFormat="1" ht="19.5" customHeight="1" x14ac:dyDescent="0.25">
      <c r="A10" s="12">
        <v>1</v>
      </c>
      <c r="B10" s="13"/>
      <c r="C10" s="14"/>
      <c r="D10" s="15"/>
      <c r="E10" s="15"/>
      <c r="F10" s="15"/>
      <c r="G10" s="16"/>
      <c r="H10" s="17"/>
      <c r="I10" s="15"/>
      <c r="J10" s="15"/>
      <c r="K10" s="15"/>
      <c r="L10" s="16"/>
      <c r="M10" s="17"/>
      <c r="N10" s="15"/>
      <c r="O10" s="15"/>
      <c r="P10" s="15"/>
      <c r="Q10" s="16"/>
      <c r="R10" s="18" t="str">
        <f>IF(B10="","",AVERAGE(C10:Q10))</f>
        <v/>
      </c>
      <c r="S10" s="19"/>
      <c r="T10" s="40" t="e">
        <f>S10/R10</f>
        <v>#VALUE!</v>
      </c>
      <c r="U10" s="40" t="e">
        <f>T10*0.85</f>
        <v>#VALUE!</v>
      </c>
      <c r="V10" s="18"/>
      <c r="W10" s="12"/>
      <c r="X10" s="42">
        <f>V10*W10</f>
        <v>0</v>
      </c>
      <c r="Y10" s="40" t="e">
        <f>U10*X10</f>
        <v>#VALUE!</v>
      </c>
      <c r="Z10" s="43" t="e">
        <f>Y10*1000</f>
        <v>#VALUE!</v>
      </c>
    </row>
    <row r="11" spans="1:26" s="21" customFormat="1" ht="19.5" customHeight="1" x14ac:dyDescent="0.25">
      <c r="A11" s="22">
        <v>2</v>
      </c>
      <c r="B11" s="23"/>
      <c r="C11" s="24"/>
      <c r="D11" s="25"/>
      <c r="E11" s="25"/>
      <c r="F11" s="25"/>
      <c r="G11" s="26"/>
      <c r="H11" s="27"/>
      <c r="I11" s="25"/>
      <c r="J11" s="25"/>
      <c r="K11" s="25"/>
      <c r="L11" s="26"/>
      <c r="M11" s="27"/>
      <c r="N11" s="25"/>
      <c r="O11" s="25"/>
      <c r="P11" s="25"/>
      <c r="Q11" s="26"/>
      <c r="R11" s="28" t="str">
        <f t="shared" ref="R11:R20" si="0">IF(B11="","",AVERAGE(C11:Q11))</f>
        <v/>
      </c>
      <c r="S11" s="20"/>
      <c r="T11" s="41" t="e">
        <f>S11/R11</f>
        <v>#VALUE!</v>
      </c>
      <c r="U11" s="41" t="e">
        <f>T11*0.85</f>
        <v>#VALUE!</v>
      </c>
      <c r="V11" s="28"/>
      <c r="W11" s="22"/>
      <c r="X11" s="44">
        <f t="shared" ref="X11:X20" si="1">V11*W11</f>
        <v>0</v>
      </c>
      <c r="Y11" s="41" t="e">
        <f t="shared" ref="Y11:Y14" si="2">U11*X11</f>
        <v>#VALUE!</v>
      </c>
      <c r="Z11" s="43" t="e">
        <f t="shared" ref="Z11:Z14" si="3">Y11*1000</f>
        <v>#VALUE!</v>
      </c>
    </row>
    <row r="12" spans="1:26" s="21" customFormat="1" ht="19.5" customHeight="1" x14ac:dyDescent="0.25">
      <c r="A12" s="22">
        <v>3</v>
      </c>
      <c r="B12" s="23"/>
      <c r="C12" s="24"/>
      <c r="D12" s="25"/>
      <c r="E12" s="25"/>
      <c r="F12" s="25"/>
      <c r="G12" s="29"/>
      <c r="H12" s="27"/>
      <c r="I12" s="25"/>
      <c r="J12" s="25"/>
      <c r="K12" s="25"/>
      <c r="L12" s="26"/>
      <c r="M12" s="27"/>
      <c r="N12" s="25"/>
      <c r="O12" s="25"/>
      <c r="P12" s="25"/>
      <c r="Q12" s="26"/>
      <c r="R12" s="28" t="str">
        <f t="shared" si="0"/>
        <v/>
      </c>
      <c r="S12" s="20"/>
      <c r="T12" s="41" t="e">
        <f t="shared" ref="T12:T14" si="4">S12/R12</f>
        <v>#VALUE!</v>
      </c>
      <c r="U12" s="41" t="e">
        <f t="shared" ref="U12:U14" si="5">T12*0.85</f>
        <v>#VALUE!</v>
      </c>
      <c r="V12" s="28"/>
      <c r="W12" s="22"/>
      <c r="X12" s="44">
        <f t="shared" si="1"/>
        <v>0</v>
      </c>
      <c r="Y12" s="41" t="e">
        <f t="shared" si="2"/>
        <v>#VALUE!</v>
      </c>
      <c r="Z12" s="43" t="e">
        <f t="shared" si="3"/>
        <v>#VALUE!</v>
      </c>
    </row>
    <row r="13" spans="1:26" s="21" customFormat="1" ht="19.5" customHeight="1" x14ac:dyDescent="0.25">
      <c r="A13" s="22">
        <v>4</v>
      </c>
      <c r="B13" s="23"/>
      <c r="C13" s="24"/>
      <c r="D13" s="25"/>
      <c r="E13" s="25"/>
      <c r="F13" s="30"/>
      <c r="G13" s="26"/>
      <c r="H13" s="27"/>
      <c r="I13" s="25"/>
      <c r="J13" s="25"/>
      <c r="K13" s="25"/>
      <c r="L13" s="26"/>
      <c r="M13" s="27"/>
      <c r="N13" s="25"/>
      <c r="O13" s="25"/>
      <c r="P13" s="25"/>
      <c r="Q13" s="26"/>
      <c r="R13" s="28" t="str">
        <f t="shared" si="0"/>
        <v/>
      </c>
      <c r="S13" s="20"/>
      <c r="T13" s="41" t="e">
        <f t="shared" si="4"/>
        <v>#VALUE!</v>
      </c>
      <c r="U13" s="41" t="e">
        <f t="shared" si="5"/>
        <v>#VALUE!</v>
      </c>
      <c r="V13" s="28"/>
      <c r="W13" s="22"/>
      <c r="X13" s="44">
        <f t="shared" si="1"/>
        <v>0</v>
      </c>
      <c r="Y13" s="41" t="e">
        <f t="shared" si="2"/>
        <v>#VALUE!</v>
      </c>
      <c r="Z13" s="43" t="e">
        <f t="shared" si="3"/>
        <v>#VALUE!</v>
      </c>
    </row>
    <row r="14" spans="1:26" s="21" customFormat="1" ht="19.5" customHeight="1" x14ac:dyDescent="0.25">
      <c r="A14" s="22">
        <v>5</v>
      </c>
      <c r="B14" s="23"/>
      <c r="C14" s="24"/>
      <c r="D14" s="25"/>
      <c r="E14" s="25"/>
      <c r="F14" s="25"/>
      <c r="G14" s="26"/>
      <c r="H14" s="27"/>
      <c r="I14" s="25"/>
      <c r="J14" s="25"/>
      <c r="K14" s="25"/>
      <c r="L14" s="26"/>
      <c r="M14" s="27"/>
      <c r="N14" s="25"/>
      <c r="O14" s="25"/>
      <c r="P14" s="25"/>
      <c r="Q14" s="26"/>
      <c r="R14" s="28" t="str">
        <f t="shared" si="0"/>
        <v/>
      </c>
      <c r="S14" s="20"/>
      <c r="T14" s="41" t="e">
        <f t="shared" si="4"/>
        <v>#VALUE!</v>
      </c>
      <c r="U14" s="41" t="e">
        <f t="shared" si="5"/>
        <v>#VALUE!</v>
      </c>
      <c r="V14" s="28"/>
      <c r="W14" s="22"/>
      <c r="X14" s="44">
        <f t="shared" si="1"/>
        <v>0</v>
      </c>
      <c r="Y14" s="41" t="e">
        <f t="shared" si="2"/>
        <v>#VALUE!</v>
      </c>
      <c r="Z14" s="43" t="e">
        <f t="shared" si="3"/>
        <v>#VALUE!</v>
      </c>
    </row>
    <row r="15" spans="1:26" s="21" customFormat="1" ht="19.5" customHeight="1" x14ac:dyDescent="0.25">
      <c r="A15" s="22">
        <v>6</v>
      </c>
      <c r="B15" s="23"/>
      <c r="C15" s="24"/>
      <c r="D15" s="25"/>
      <c r="E15" s="25"/>
      <c r="F15" s="25"/>
      <c r="G15" s="26"/>
      <c r="H15" s="27"/>
      <c r="I15" s="25"/>
      <c r="J15" s="25"/>
      <c r="K15" s="25"/>
      <c r="L15" s="26"/>
      <c r="M15" s="27"/>
      <c r="N15" s="25"/>
      <c r="O15" s="25"/>
      <c r="P15" s="25"/>
      <c r="Q15" s="26"/>
      <c r="R15" s="28" t="str">
        <f t="shared" si="0"/>
        <v/>
      </c>
      <c r="S15" s="20"/>
      <c r="T15" s="41" t="e">
        <f t="shared" ref="T15:T20" si="6">S15/R15</f>
        <v>#VALUE!</v>
      </c>
      <c r="U15" s="41" t="e">
        <f t="shared" ref="U15:U20" si="7">T15*0.85</f>
        <v>#VALUE!</v>
      </c>
      <c r="V15" s="28"/>
      <c r="W15" s="22"/>
      <c r="X15" s="44">
        <f t="shared" si="1"/>
        <v>0</v>
      </c>
      <c r="Y15" s="41" t="e">
        <f t="shared" ref="Y15:Y20" si="8">U15*X15</f>
        <v>#VALUE!</v>
      </c>
      <c r="Z15" s="43" t="e">
        <f t="shared" ref="Z15:Z20" si="9">Y15*1000</f>
        <v>#VALUE!</v>
      </c>
    </row>
    <row r="16" spans="1:26" s="21" customFormat="1" ht="19.5" customHeight="1" x14ac:dyDescent="0.25">
      <c r="A16" s="22">
        <v>7</v>
      </c>
      <c r="B16" s="23"/>
      <c r="C16" s="24"/>
      <c r="D16" s="25"/>
      <c r="E16" s="25"/>
      <c r="F16" s="25"/>
      <c r="G16" s="26"/>
      <c r="H16" s="27"/>
      <c r="I16" s="25"/>
      <c r="J16" s="25"/>
      <c r="K16" s="25"/>
      <c r="L16" s="26"/>
      <c r="M16" s="27"/>
      <c r="N16" s="25"/>
      <c r="O16" s="25"/>
      <c r="P16" s="25"/>
      <c r="Q16" s="26"/>
      <c r="R16" s="28" t="str">
        <f t="shared" si="0"/>
        <v/>
      </c>
      <c r="S16" s="20"/>
      <c r="T16" s="41" t="e">
        <f t="shared" si="6"/>
        <v>#VALUE!</v>
      </c>
      <c r="U16" s="41" t="e">
        <f t="shared" si="7"/>
        <v>#VALUE!</v>
      </c>
      <c r="V16" s="28"/>
      <c r="W16" s="22"/>
      <c r="X16" s="44">
        <f t="shared" si="1"/>
        <v>0</v>
      </c>
      <c r="Y16" s="41" t="e">
        <f t="shared" si="8"/>
        <v>#VALUE!</v>
      </c>
      <c r="Z16" s="43" t="e">
        <f t="shared" si="9"/>
        <v>#VALUE!</v>
      </c>
    </row>
    <row r="17" spans="1:26" s="21" customFormat="1" ht="19.5" customHeight="1" x14ac:dyDescent="0.25">
      <c r="A17" s="22">
        <v>8</v>
      </c>
      <c r="B17" s="23"/>
      <c r="C17" s="24"/>
      <c r="D17" s="25"/>
      <c r="E17" s="25"/>
      <c r="F17" s="25"/>
      <c r="G17" s="26"/>
      <c r="H17" s="27"/>
      <c r="I17" s="25"/>
      <c r="J17" s="25"/>
      <c r="K17" s="25"/>
      <c r="L17" s="26"/>
      <c r="M17" s="27"/>
      <c r="N17" s="25"/>
      <c r="O17" s="25"/>
      <c r="P17" s="25"/>
      <c r="Q17" s="26"/>
      <c r="R17" s="28" t="str">
        <f t="shared" si="0"/>
        <v/>
      </c>
      <c r="S17" s="20"/>
      <c r="T17" s="41" t="e">
        <f t="shared" si="6"/>
        <v>#VALUE!</v>
      </c>
      <c r="U17" s="41" t="e">
        <f t="shared" si="7"/>
        <v>#VALUE!</v>
      </c>
      <c r="V17" s="28"/>
      <c r="W17" s="22"/>
      <c r="X17" s="44">
        <f t="shared" si="1"/>
        <v>0</v>
      </c>
      <c r="Y17" s="41" t="e">
        <f t="shared" si="8"/>
        <v>#VALUE!</v>
      </c>
      <c r="Z17" s="43" t="e">
        <f t="shared" si="9"/>
        <v>#VALUE!</v>
      </c>
    </row>
    <row r="18" spans="1:26" s="21" customFormat="1" ht="19.5" customHeight="1" x14ac:dyDescent="0.25">
      <c r="A18" s="22">
        <v>9</v>
      </c>
      <c r="B18" s="23"/>
      <c r="C18" s="24"/>
      <c r="D18" s="25"/>
      <c r="E18" s="25"/>
      <c r="F18" s="25"/>
      <c r="G18" s="26"/>
      <c r="H18" s="27"/>
      <c r="I18" s="25"/>
      <c r="J18" s="25"/>
      <c r="K18" s="25"/>
      <c r="L18" s="26"/>
      <c r="M18" s="27"/>
      <c r="N18" s="25"/>
      <c r="O18" s="25"/>
      <c r="P18" s="25"/>
      <c r="Q18" s="26"/>
      <c r="R18" s="28" t="str">
        <f t="shared" si="0"/>
        <v/>
      </c>
      <c r="S18" s="20"/>
      <c r="T18" s="41" t="e">
        <f t="shared" si="6"/>
        <v>#VALUE!</v>
      </c>
      <c r="U18" s="41" t="e">
        <f t="shared" si="7"/>
        <v>#VALUE!</v>
      </c>
      <c r="V18" s="28"/>
      <c r="W18" s="22"/>
      <c r="X18" s="44">
        <f t="shared" si="1"/>
        <v>0</v>
      </c>
      <c r="Y18" s="41" t="e">
        <f t="shared" si="8"/>
        <v>#VALUE!</v>
      </c>
      <c r="Z18" s="43" t="e">
        <f t="shared" si="9"/>
        <v>#VALUE!</v>
      </c>
    </row>
    <row r="19" spans="1:26" s="21" customFormat="1" ht="19.5" customHeight="1" x14ac:dyDescent="0.25">
      <c r="A19" s="22">
        <v>10</v>
      </c>
      <c r="B19" s="23"/>
      <c r="C19" s="24"/>
      <c r="D19" s="25"/>
      <c r="E19" s="25"/>
      <c r="F19" s="25"/>
      <c r="G19" s="26"/>
      <c r="H19" s="27"/>
      <c r="I19" s="25"/>
      <c r="J19" s="25"/>
      <c r="K19" s="25"/>
      <c r="L19" s="26"/>
      <c r="M19" s="27"/>
      <c r="N19" s="25"/>
      <c r="O19" s="25"/>
      <c r="P19" s="25"/>
      <c r="Q19" s="26"/>
      <c r="R19" s="28" t="str">
        <f t="shared" si="0"/>
        <v/>
      </c>
      <c r="S19" s="20"/>
      <c r="T19" s="41" t="e">
        <f t="shared" si="6"/>
        <v>#VALUE!</v>
      </c>
      <c r="U19" s="41" t="e">
        <f t="shared" si="7"/>
        <v>#VALUE!</v>
      </c>
      <c r="V19" s="28"/>
      <c r="W19" s="22"/>
      <c r="X19" s="44">
        <f t="shared" si="1"/>
        <v>0</v>
      </c>
      <c r="Y19" s="41" t="e">
        <f t="shared" si="8"/>
        <v>#VALUE!</v>
      </c>
      <c r="Z19" s="43" t="e">
        <f t="shared" si="9"/>
        <v>#VALUE!</v>
      </c>
    </row>
    <row r="20" spans="1:26" s="21" customFormat="1" ht="19.5" customHeight="1" x14ac:dyDescent="0.25">
      <c r="A20" s="31">
        <v>11</v>
      </c>
      <c r="B20" s="32"/>
      <c r="C20" s="33"/>
      <c r="D20" s="34"/>
      <c r="E20" s="34"/>
      <c r="F20" s="34"/>
      <c r="G20" s="35"/>
      <c r="H20" s="36"/>
      <c r="I20" s="34"/>
      <c r="J20" s="34"/>
      <c r="K20" s="34"/>
      <c r="L20" s="35"/>
      <c r="M20" s="36"/>
      <c r="N20" s="34"/>
      <c r="O20" s="34"/>
      <c r="P20" s="34"/>
      <c r="Q20" s="35"/>
      <c r="R20" s="37" t="str">
        <f t="shared" si="0"/>
        <v/>
      </c>
      <c r="S20" s="38"/>
      <c r="T20" s="41" t="e">
        <f t="shared" si="6"/>
        <v>#VALUE!</v>
      </c>
      <c r="U20" s="41" t="e">
        <f t="shared" si="7"/>
        <v>#VALUE!</v>
      </c>
      <c r="V20" s="37"/>
      <c r="W20" s="31"/>
      <c r="X20" s="44">
        <f t="shared" si="1"/>
        <v>0</v>
      </c>
      <c r="Y20" s="41" t="e">
        <f t="shared" si="8"/>
        <v>#VALUE!</v>
      </c>
      <c r="Z20" s="43" t="e">
        <f t="shared" si="9"/>
        <v>#VALUE!</v>
      </c>
    </row>
    <row r="21" spans="1:26" ht="27" customHeight="1" x14ac:dyDescent="0.2">
      <c r="A21" s="101" t="s">
        <v>20</v>
      </c>
      <c r="B21" s="102"/>
      <c r="C21" s="102"/>
      <c r="D21" s="102"/>
      <c r="E21" s="102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P21" s="102"/>
      <c r="Q21" s="102"/>
      <c r="R21" s="102"/>
      <c r="S21" s="102"/>
      <c r="T21" s="102"/>
      <c r="U21" s="102"/>
      <c r="V21" s="102"/>
      <c r="W21" s="102"/>
      <c r="X21" s="102"/>
      <c r="Y21" s="102"/>
      <c r="Z21" s="103"/>
    </row>
    <row r="22" spans="1:26" ht="19.5" customHeight="1" x14ac:dyDescent="0.2">
      <c r="A22" s="63"/>
      <c r="B22" s="100"/>
      <c r="C22" s="100"/>
      <c r="D22" s="100"/>
      <c r="E22" s="100"/>
      <c r="F22" s="100"/>
      <c r="G22" s="100"/>
      <c r="H22" s="100"/>
      <c r="I22" s="100"/>
      <c r="J22" s="100"/>
      <c r="K22" s="100"/>
      <c r="L22" s="100"/>
      <c r="M22" s="100"/>
      <c r="N22" s="100"/>
      <c r="O22" s="100"/>
      <c r="P22" s="100"/>
      <c r="Q22" s="100"/>
      <c r="R22" s="100"/>
      <c r="S22" s="100"/>
      <c r="T22" s="100"/>
      <c r="U22" s="100"/>
      <c r="V22" s="100"/>
      <c r="W22" s="100"/>
      <c r="X22" s="100"/>
      <c r="Y22" s="100"/>
      <c r="Z22" s="64"/>
    </row>
    <row r="23" spans="1:26" ht="19.5" customHeight="1" x14ac:dyDescent="0.2">
      <c r="A23" s="63"/>
      <c r="B23" s="100"/>
      <c r="C23" s="100"/>
      <c r="D23" s="100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100"/>
      <c r="W23" s="100"/>
      <c r="X23" s="100"/>
      <c r="Y23" s="100"/>
      <c r="Z23" s="64"/>
    </row>
    <row r="24" spans="1:26" ht="19.5" customHeight="1" x14ac:dyDescent="0.2">
      <c r="A24" s="63"/>
      <c r="B24" s="100"/>
      <c r="C24" s="100"/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N24" s="100"/>
      <c r="O24" s="100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64"/>
    </row>
    <row r="25" spans="1:26" ht="19.5" customHeight="1" x14ac:dyDescent="0.2">
      <c r="A25" s="63"/>
      <c r="B25" s="100"/>
      <c r="C25" s="100"/>
      <c r="D25" s="100"/>
      <c r="E25" s="100"/>
      <c r="F25" s="100"/>
      <c r="G25" s="100"/>
      <c r="H25" s="100"/>
      <c r="I25" s="100"/>
      <c r="J25" s="100"/>
      <c r="K25" s="100"/>
      <c r="L25" s="100"/>
      <c r="M25" s="100"/>
      <c r="N25" s="100"/>
      <c r="O25" s="100"/>
      <c r="P25" s="100"/>
      <c r="Q25" s="100"/>
      <c r="R25" s="100"/>
      <c r="S25" s="100"/>
      <c r="T25" s="100"/>
      <c r="U25" s="100"/>
      <c r="V25" s="100"/>
      <c r="W25" s="100"/>
      <c r="X25" s="100"/>
      <c r="Y25" s="100"/>
      <c r="Z25" s="64"/>
    </row>
    <row r="26" spans="1:26" ht="19.5" customHeight="1" x14ac:dyDescent="0.2">
      <c r="A26" s="63"/>
      <c r="B26" s="100"/>
      <c r="C26" s="100"/>
      <c r="D26" s="100"/>
      <c r="E26" s="100"/>
      <c r="F26" s="100"/>
      <c r="G26" s="100"/>
      <c r="H26" s="100"/>
      <c r="I26" s="100"/>
      <c r="J26" s="100"/>
      <c r="K26" s="100"/>
      <c r="L26" s="100"/>
      <c r="M26" s="100"/>
      <c r="N26" s="100"/>
      <c r="O26" s="100"/>
      <c r="P26" s="100"/>
      <c r="Q26" s="100"/>
      <c r="R26" s="100"/>
      <c r="S26" s="100"/>
      <c r="T26" s="100"/>
      <c r="U26" s="100"/>
      <c r="V26" s="100"/>
      <c r="W26" s="100"/>
      <c r="X26" s="100"/>
      <c r="Y26" s="100"/>
      <c r="Z26" s="64"/>
    </row>
    <row r="27" spans="1:26" ht="19.5" customHeight="1" x14ac:dyDescent="0.2">
      <c r="A27" s="63"/>
      <c r="B27" s="100"/>
      <c r="C27" s="100"/>
      <c r="D27" s="100"/>
      <c r="E27" s="100"/>
      <c r="F27" s="100"/>
      <c r="G27" s="100"/>
      <c r="H27" s="100"/>
      <c r="I27" s="100"/>
      <c r="J27" s="100"/>
      <c r="K27" s="100"/>
      <c r="L27" s="100"/>
      <c r="M27" s="100"/>
      <c r="N27" s="100"/>
      <c r="O27" s="100"/>
      <c r="P27" s="100"/>
      <c r="Q27" s="100"/>
      <c r="R27" s="100"/>
      <c r="S27" s="100"/>
      <c r="T27" s="100"/>
      <c r="U27" s="100"/>
      <c r="V27" s="100"/>
      <c r="W27" s="100"/>
      <c r="X27" s="100"/>
      <c r="Y27" s="100"/>
      <c r="Z27" s="64"/>
    </row>
    <row r="28" spans="1:26" ht="39.75" customHeight="1" thickBot="1" x14ac:dyDescent="0.25">
      <c r="A28" s="86" t="s">
        <v>41</v>
      </c>
      <c r="B28" s="87"/>
      <c r="C28" s="87"/>
      <c r="D28" s="87"/>
      <c r="E28" s="87"/>
      <c r="F28" s="87"/>
      <c r="G28" s="87"/>
      <c r="H28" s="87"/>
      <c r="I28" s="87"/>
      <c r="J28" s="87"/>
      <c r="K28" s="87"/>
      <c r="L28" s="87"/>
      <c r="M28" s="87"/>
      <c r="N28" s="87"/>
      <c r="O28" s="87"/>
      <c r="P28" s="87"/>
      <c r="Q28" s="87"/>
      <c r="R28" s="87" t="s">
        <v>21</v>
      </c>
      <c r="S28" s="87"/>
      <c r="T28" s="87"/>
      <c r="U28" s="87"/>
      <c r="V28" s="87"/>
      <c r="W28" s="87"/>
      <c r="X28" s="87"/>
      <c r="Y28" s="87"/>
      <c r="Z28" s="88"/>
    </row>
  </sheetData>
  <mergeCells count="42">
    <mergeCell ref="A21:Z21"/>
    <mergeCell ref="Z8:Z9"/>
    <mergeCell ref="W8:W9"/>
    <mergeCell ref="X8:X9"/>
    <mergeCell ref="Y8:Y9"/>
    <mergeCell ref="V8:V9"/>
    <mergeCell ref="R8:R9"/>
    <mergeCell ref="S8:S9"/>
    <mergeCell ref="T8:T9"/>
    <mergeCell ref="U8:U9"/>
    <mergeCell ref="A28:Q28"/>
    <mergeCell ref="R28:Z28"/>
    <mergeCell ref="A22:Z22"/>
    <mergeCell ref="A23:Z23"/>
    <mergeCell ref="A24:Z24"/>
    <mergeCell ref="A25:Z25"/>
    <mergeCell ref="A26:Z26"/>
    <mergeCell ref="A27:Z27"/>
    <mergeCell ref="X5:Z5"/>
    <mergeCell ref="V5:W5"/>
    <mergeCell ref="Y1:Z1"/>
    <mergeCell ref="Y2:Z2"/>
    <mergeCell ref="Y3:Z3"/>
    <mergeCell ref="Y4:Z4"/>
    <mergeCell ref="C1:X4"/>
    <mergeCell ref="C5:I5"/>
    <mergeCell ref="V6:Z6"/>
    <mergeCell ref="C6:I6"/>
    <mergeCell ref="B8:B9"/>
    <mergeCell ref="A1:B4"/>
    <mergeCell ref="A5:B5"/>
    <mergeCell ref="A6:B6"/>
    <mergeCell ref="C8:G8"/>
    <mergeCell ref="A7:B7"/>
    <mergeCell ref="T6:U6"/>
    <mergeCell ref="H8:L8"/>
    <mergeCell ref="M8:Q8"/>
    <mergeCell ref="C7:Q7"/>
    <mergeCell ref="J5:N5"/>
    <mergeCell ref="J6:N6"/>
    <mergeCell ref="O5:S5"/>
    <mergeCell ref="O6:S6"/>
  </mergeCells>
  <pageMargins left="0.7" right="0.7" top="0.75" bottom="0.75" header="0.3" footer="0.3"/>
  <pageSetup scale="34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E576A-5B60-48C7-B130-27FCDA46BE96}">
  <dimension ref="D4:O14"/>
  <sheetViews>
    <sheetView workbookViewId="0">
      <selection activeCell="C16" sqref="C16"/>
    </sheetView>
  </sheetViews>
  <sheetFormatPr baseColWidth="10" defaultRowHeight="15" x14ac:dyDescent="0.25"/>
  <sheetData>
    <row r="4" spans="4:15" x14ac:dyDescent="0.25"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</row>
    <row r="5" spans="4:15" x14ac:dyDescent="0.25"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</row>
    <row r="6" spans="4:15" ht="18" x14ac:dyDescent="0.35">
      <c r="D6" s="51"/>
      <c r="E6" s="51"/>
      <c r="F6" s="48" t="s">
        <v>39</v>
      </c>
      <c r="G6" s="48" t="s">
        <v>36</v>
      </c>
      <c r="H6" s="48" t="s">
        <v>37</v>
      </c>
      <c r="I6" s="48" t="s">
        <v>38</v>
      </c>
      <c r="J6" s="50"/>
      <c r="K6" s="50"/>
      <c r="L6" s="50"/>
      <c r="M6" s="50"/>
      <c r="N6" s="50"/>
      <c r="O6" s="50"/>
    </row>
    <row r="7" spans="4:15" x14ac:dyDescent="0.25">
      <c r="D7" s="51"/>
      <c r="E7" s="51"/>
      <c r="F7" s="45">
        <v>5</v>
      </c>
      <c r="G7" s="45">
        <v>35</v>
      </c>
      <c r="H7" s="46">
        <f>F7/G7</f>
        <v>0.14285714285714285</v>
      </c>
      <c r="I7" s="47">
        <f>0.1363*H7+0.8425</f>
        <v>0.86197142857142861</v>
      </c>
      <c r="J7" s="50"/>
      <c r="K7" s="50"/>
      <c r="L7" s="50"/>
      <c r="M7" s="50"/>
      <c r="N7" s="50"/>
      <c r="O7" s="50"/>
    </row>
    <row r="8" spans="4:15" x14ac:dyDescent="0.25">
      <c r="D8" s="51"/>
      <c r="E8" s="51"/>
      <c r="F8" s="45">
        <v>5</v>
      </c>
      <c r="G8" s="45">
        <v>55</v>
      </c>
      <c r="H8" s="46">
        <f>F8/G8</f>
        <v>9.0909090909090912E-2</v>
      </c>
      <c r="I8" s="47">
        <f t="shared" ref="I8:I12" si="0">0.1363*H8+0.8425</f>
        <v>0.85489090909090915</v>
      </c>
      <c r="J8" s="50"/>
      <c r="K8" s="50"/>
      <c r="L8" s="50"/>
      <c r="M8" s="50"/>
      <c r="N8" s="50"/>
      <c r="O8" s="50"/>
    </row>
    <row r="9" spans="4:15" x14ac:dyDescent="0.25">
      <c r="D9" s="51"/>
      <c r="E9" s="51"/>
      <c r="F9" s="45">
        <v>5</v>
      </c>
      <c r="G9" s="45">
        <v>80</v>
      </c>
      <c r="H9" s="46">
        <f t="shared" ref="H9:H12" si="1">F9/G9</f>
        <v>6.25E-2</v>
      </c>
      <c r="I9" s="47">
        <f t="shared" si="0"/>
        <v>0.85101875000000005</v>
      </c>
      <c r="J9" s="50"/>
      <c r="K9" s="50"/>
      <c r="L9" s="50"/>
      <c r="M9" s="50"/>
      <c r="N9" s="50"/>
      <c r="O9" s="50"/>
    </row>
    <row r="10" spans="4:15" x14ac:dyDescent="0.25">
      <c r="D10" s="51"/>
      <c r="E10" s="51"/>
      <c r="F10" s="45">
        <v>5</v>
      </c>
      <c r="G10" s="45">
        <v>100</v>
      </c>
      <c r="H10" s="46">
        <f t="shared" si="1"/>
        <v>0.05</v>
      </c>
      <c r="I10" s="47">
        <f t="shared" si="0"/>
        <v>0.84931500000000004</v>
      </c>
      <c r="J10" s="50"/>
      <c r="K10" s="50"/>
      <c r="L10" s="50"/>
      <c r="M10" s="50"/>
      <c r="N10" s="50"/>
      <c r="O10" s="50"/>
    </row>
    <row r="11" spans="4:15" x14ac:dyDescent="0.25">
      <c r="D11" s="51"/>
      <c r="E11" s="51"/>
      <c r="F11" s="45">
        <v>5</v>
      </c>
      <c r="G11" s="45">
        <v>150</v>
      </c>
      <c r="H11" s="46">
        <f t="shared" si="1"/>
        <v>3.3333333333333333E-2</v>
      </c>
      <c r="I11" s="47">
        <f t="shared" si="0"/>
        <v>0.84704333333333337</v>
      </c>
      <c r="J11" s="50"/>
      <c r="K11" s="50"/>
      <c r="L11" s="50"/>
      <c r="M11" s="50"/>
      <c r="N11" s="50"/>
      <c r="O11" s="50"/>
    </row>
    <row r="12" spans="4:15" x14ac:dyDescent="0.25">
      <c r="D12" s="51"/>
      <c r="E12" s="51"/>
      <c r="F12" s="45">
        <v>5</v>
      </c>
      <c r="G12" s="45">
        <v>250</v>
      </c>
      <c r="H12" s="46">
        <f t="shared" si="1"/>
        <v>0.02</v>
      </c>
      <c r="I12" s="47">
        <f t="shared" si="0"/>
        <v>0.84522600000000003</v>
      </c>
      <c r="J12" s="50"/>
      <c r="K12" s="50"/>
      <c r="L12" s="50"/>
      <c r="M12" s="50"/>
      <c r="N12" s="50"/>
      <c r="O12" s="50"/>
    </row>
    <row r="13" spans="4:15" x14ac:dyDescent="0.25"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</row>
    <row r="14" spans="4:15" x14ac:dyDescent="0.25"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Jhoana Mendoza</cp:lastModifiedBy>
  <dcterms:created xsi:type="dcterms:W3CDTF">2023-08-24T00:24:38Z</dcterms:created>
  <dcterms:modified xsi:type="dcterms:W3CDTF">2023-08-28T00:38:14Z</dcterms:modified>
</cp:coreProperties>
</file>